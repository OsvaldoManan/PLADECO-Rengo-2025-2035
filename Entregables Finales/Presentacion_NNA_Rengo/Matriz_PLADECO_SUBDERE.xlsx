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PLADECO 2025-2035" sheetId="1" r:id="rId5"/>
    <sheet state="visible" name="Ejes Estrategicos del PLADECO 2" sheetId="2" r:id="rId6"/>
    <sheet state="visible" name="Desarrollo Comunitario Organiza" sheetId="3" r:id="rId7"/>
  </sheets>
  <definedNames/>
  <calcPr/>
</workbook>
</file>

<file path=xl/sharedStrings.xml><?xml version="1.0" encoding="utf-8"?>
<sst xmlns="http://schemas.openxmlformats.org/spreadsheetml/2006/main" count="2969" uniqueCount="2216">
  <si>
    <t>N</t>
  </si>
  <si>
    <t>Eje PLADECO</t>
  </si>
  <si>
    <t>Obj. Estratégico</t>
  </si>
  <si>
    <t>Área Programa</t>
  </si>
  <si>
    <t>Política / Iniciativa (Acciones)</t>
  </si>
  <si>
    <t>Descripción</t>
  </si>
  <si>
    <t>Justificación</t>
  </si>
  <si>
    <t>Indicadores</t>
  </si>
  <si>
    <t>Línea Base 2024</t>
  </si>
  <si>
    <t>Meta 2028</t>
  </si>
  <si>
    <t>Meta 2035</t>
  </si>
  <si>
    <t>Plazo</t>
  </si>
  <si>
    <t>Responsable</t>
  </si>
  <si>
    <t>Financiamiento</t>
  </si>
  <si>
    <t>ODS</t>
  </si>
  <si>
    <t>Eje 1: Cultura, Turismo, Deportes, Recreación y Bienestar Social (Salud)</t>
  </si>
  <si>
    <t>OE 1.1 Desarrollar Plan de Turismo Rural, Patrimonial y Enoturístico</t>
  </si>
  <si>
    <t>Cultura y Turismo</t>
  </si>
  <si>
    <t>Desarrollo del Turismo Local "De las Regiones a Rengo: Alianza Comunal"</t>
  </si>
  <si>
    <t>Establecer alianzas turísticas con comunas y regiones para posicionar a Rengo como destino de fin de semana, generando circuitos integrados y paquetes turísticos.</t>
  </si>
  <si>
    <t>Rengo se ubica a 114 km de Santiago con acceso por Ruta 5 y Metrotren reactivado (90 min), pero carece de alianzas turísticas formales pese a sus 4.829 empresas (1a en la región). El potencial enoturístico con 736 ha de viñas y 11.078 ha bajo riego se complementa con patrimonio centenario (fundación 1831). La ERD O"Higgins 2024-2036 promueve la asociatividad territorial para desarrollo turístico, y el ICD comunal evolucionó de 0,10 a 0,88 demostrando capacidad de gestión. El IDHC creció de 0,51 a 0,74, posicionando a Rengo como comuna con potencial de articulación intercomunal. Según Censo INE 2024, la comuna alcanza 65.786 hab. con crecimiento de +20,6% desde 2001 y proyección de ~70.000 hacia 2032-2033. La MBHT registra BHT promedio de 0,537 con relación socioeconómica-BHT de r=0,831, evidenciando que el desarrollo turístico puede impulsar bienestar territorial (Diagnóstico PLADECO 2025).</t>
  </si>
  <si>
    <t>Visitantes provenientes de alianzas; Ingresos turísticos; Alianzas formalizadas; Satisfacción visitantes</t>
  </si>
  <si>
    <t>0 alianzas turísticas intercomunales</t>
  </si>
  <si>
    <t>3 alianzas; 2.000 visitantes nuevos</t>
  </si>
  <si>
    <t>6 alianzas; 10.000 visitantes/año; $150M ingresos</t>
  </si>
  <si>
    <t>M</t>
  </si>
  <si>
    <t>Oficina Turismo + SECPLAN</t>
  </si>
  <si>
    <t>Municipal + SERNATUR + GORE + Privados</t>
  </si>
  <si>
    <t>ODS 8, 11, 17</t>
  </si>
  <si>
    <t>Desarrollo del Turismo Patrimonial</t>
  </si>
  <si>
    <t>Identificar, crear y difundir rutas de turismo patrimonial que vinculen edificaciones históricas, sitios arqueológicos y tradiciones locales, promoviendo la conservación y el turismo cultural.</t>
  </si>
  <si>
    <t>Rengo posee patrimonio arquitectónico no catastrado: Templo Santa Ana (1882), estatua del Toqui Caupolicán (Nicanor Plaza), pileta de la Guerra del Pacífico, y arbolado histórico centenario de la Quinta Normal. El PRC lleva más de 16 años sin actualizar, dificultando la protección patrimonial en un territorio de 592 km2. El diagnóstico normativo identifica 8 vacíos críticos, con cobertura 0% en educación/cultura entre 65 instrumentos normativos. La encuesta ciudadana (n=119) señala pérdida de identidad como problema (29%), mientras el IDHC evolucionó de 0,51 a 0,74 sin dimensión cultural explícita. Según Censo INE 2024, la comuna alcanza 65.786 hab. con crecimiento de +20,6% desde 2001 y proyección de ~70.000 hacia 2032-2033. La MBHT registra BHT promedio de 0,537 con relación socioeconómica-BHT de r=0,831, evidenciando que el desarrollo turístico puede impulsar bienestar territorial (Diagnóstico PLADECO 2025).</t>
  </si>
  <si>
    <t>Rutas patrimoniales establecidas; Visitantes en rutas; Ingresos por turismo patrimonial; Estado de conservación de sitios</t>
  </si>
  <si>
    <t>0 rutas patrimoniales formales</t>
  </si>
  <si>
    <t>2 rutas; 1.500 visitantes</t>
  </si>
  <si>
    <t>5 rutas; 6.000 visitantes/año; 80% sitios en buen estado</t>
  </si>
  <si>
    <t>Municipal + CMN + SERNATUR + Fondart</t>
  </si>
  <si>
    <t>ODS 8, 11, 15</t>
  </si>
  <si>
    <t>Fomento al Turismo Local "Descubriendo Rengo"</t>
  </si>
  <si>
    <t>Promover el turismo local mediante campañas de difusión, alianzas estratégicas con operadores turísticos y creación de contenidos digitales que posicionan a Rengo como destino atractivo de la Región de O'Higgins.</t>
  </si>
  <si>
    <t>Rengo posee patrimonio natural y cultural subvalorado para sus 65.786 hab., pese a su cercanía a Santiago (114 km por Ruta 5) y conectividad por Metrotren (90 min). La encuesta ciudadana (n=119) evidencia que solo 29% percibe identidad fuerte, y el presupuesto municipal destina apenas 0,52% a cultura. Con 4.829 empresas (1a regional) y 736 ha de viñas, el enoturismo es una oportunidad no explotada que la ERD O"Higgins 2024-2036 prioriza como turismo sostenible en comunas intermedias, conforme a la Ley 20.423 de turismo y los ODS 8 y 11. Según Censo INE 2024, la comuna alcanza 65.786 hab. con crecimiento de +20,6% desde 2001 y proyección de ~70.000 hacia 2032-2033. La MBHT registra BHT promedio de 0,537 con relación socioeconómica-BHT de r=0,831, evidenciando que el desarrollo turístico puede impulsar bienestar territorial (Diagnóstico PLADECO 2025).</t>
  </si>
  <si>
    <t>Número de campañas realizadas; Visitantes anuales registrados; Ingresos por turismo local</t>
  </si>
  <si>
    <t>0 campañas turísticas comunales estructuradas</t>
  </si>
  <si>
    <t>3 campañas/año; 5.000 visitantes</t>
  </si>
  <si>
    <t>6 campañas/año; 15.000 visitantes; $200M ingresos turísticos</t>
  </si>
  <si>
    <t>C</t>
  </si>
  <si>
    <t>Municipal + SERNATUR + GORE</t>
  </si>
  <si>
    <t>Parque Natural y Recreativo Huilquio de Rengo</t>
  </si>
  <si>
    <t>Diseñar y construir un parque natural con senderos, áreas de picnic, miradores y actividades al aire libre que integre naturaleza y recreación familiar en el sector Huilquio.</t>
  </si>
  <si>
    <t>Rengo registra solo 1,96 m2/hab de áreas verdes frente al estándar OMS de 9-10 m2/hab, con 60% de césped amarillento y 70% de plazas sin riego tecnificado. Para 65.786 habitantes esto representa un déficit crítico que impacta la salud de los 10.528 pacientes crónicos bajo control en PSCV. El BIP comunal registra 1.182 proyectos históricos con HHI de 0,41 (alta concentración) y $1.101 MM de inversión total, requiriendo diversificar hacia infraestructura verde que contribuya a mejorar el IDHC (0,51 a 0,74) conforme al ODS 15 y la Ley 18.695 art. 4 letra c. La cobertura vegetal urbana es de solo 13,1% (vs 82,0% rural), con 80% de especies arbóreas exóticas, evidenciando necesidad de espacios verdes con flora nativa (Diagnóstico Territorial MBHT 2025).</t>
  </si>
  <si>
    <t>Superficie habilitada (la); Participación mensual; Actividades programadas</t>
  </si>
  <si>
    <t>0 ha de parque natural comunal</t>
  </si>
  <si>
    <t>Diseño terminado; 5 ha habilitadas</t>
  </si>
  <si>
    <t>15 ha operativas; 30.000 visitas/año</t>
  </si>
  <si>
    <t>L</t>
  </si>
  <si>
    <t>SECPLAN + DOM</t>
  </si>
  <si>
    <t>FNDR + GORE + Municipal</t>
  </si>
  <si>
    <t>ODS 3, 11, 15</t>
  </si>
  <si>
    <t>Promoción del Pueblo Gastronómico de Saberes e Identidades de la Cuenca del Río Claro</t>
  </si>
  <si>
    <t>Posicionar la gastronomía tradicional como atractivo turístico, creando una marca territorial gastronómica con ferias, rutas culinarias y certificación de productos locales.</t>
  </si>
  <si>
    <t>La cuenca del Río Claro posee tradición gastronómica campesina no valorizada, con 11.078 ha de superficie agrícola bajo riego y producción frutícola, vitivinícola y agroindustrial que sostiene 4.541 unidades productivas. La pobreza comunal de 5,4% (CASEN 2022) y la multidimensional de 13,6% pueden reducirse con emprendimientos gastronómicos vinculados a las 330 organizaciones comunitarias. La contracción agrícola de 3.950 ha (-26%) exige diversificación productiva que la OMIL puede articular con sus más de 500 colocaciones/año. La Ley 18.695 art. 4 letra f faculta al municipio para fomento productivo. La Etnografía Social 2025 con +50 entrevistas semiestructuradas confirma la desconexión entre patrimonio histórico (fundación 1831, integración ferroviaria 1865) y percepción ciudadana actual. Los 3.813 habitantes de pueblos originarios (5,99%, 89% mapuche) y 3.217 migrantes (5,06%) enriquecen la diversidad cultural que requiere visibilización (Censo INE 2024).</t>
  </si>
  <si>
    <t>Visitantes gastronómicos; Eventos culinarios realizados; Ingresos de emprendedores gastronómicos</t>
  </si>
  <si>
    <t>0 programas gastronómicos formales</t>
  </si>
  <si>
    <t>4 eventos/año; 50 emprendedores vinculados</t>
  </si>
  <si>
    <t>12 eventos/año; 100 emprendedores; marca territorial registrada</t>
  </si>
  <si>
    <t>Oficina Turismo + DIDECO</t>
  </si>
  <si>
    <t>Municipal + INDAP + SERCOTEC + GORE</t>
  </si>
  <si>
    <t>ODS 2, 8, 11</t>
  </si>
  <si>
    <t>Rutas Culturales y Naturales de Rengo</t>
  </si>
  <si>
    <t>Crear rutas turísticas culturales y naturales que integren patrimonio histórico, paisaje rural y biodiversidad de la cuenca del Río Claro, con señalética, mapas y plataforma digital.</t>
  </si>
  <si>
    <t>La comuna carece de rutas turísticas formalizadas pese a contar con el Río Claro (cuenca 921 km2, embalse 10 M m3) y patrimonio cultural centenario (fundación 1831, integración ferroviaria 1865). La encuesta NNA (n=21) arroja 0% evaluación positiva de la comuna, evidenciando desconexión generacional con el territorio. La pérdida de 3.950 ha agrícolas (-26% en 14 años) exige diversificación económica, mientras las 330 organizaciones comunitarias y 4.829 empresas pueden articular cadenas de valor turístico conforme al eje de desarrollo productivo de la ERD O"Higgins 2024-2036. Según Censo INE 2024, la comuna alcanza 65.786 hab. con crecimiento de +20,6% desde 2001 y proyección de ~70.000 hacia 2032-2033. La MBHT registra BHT promedio de 0,537 con relación socioeconómica-BHT de r=0,831, evidenciando que el desarrollo turístico puede impulsar bienestar territorial (Diagnóstico PLADECO 2025).</t>
  </si>
  <si>
    <t>Rutas creadas y señalizadas; Participación de visitantes; Impacto económico local; Satisfacción de usuarios</t>
  </si>
  <si>
    <t>0 rutas formalizadas</t>
  </si>
  <si>
    <t>3 rutas operativas; 2.000 visitantes</t>
  </si>
  <si>
    <t>6 rutas consolidadas; 8.000 visitantes/año</t>
  </si>
  <si>
    <t>Oficina Turismo + SECPLAN + DIDECO + OLN</t>
  </si>
  <si>
    <t>Municipal + FNDR + SERNATUR</t>
  </si>
  <si>
    <t>OE 1.2 Fortalecer la Identidad Cultural y el Patrimonio Local</t>
  </si>
  <si>
    <t>Café Literario "Rengo: Entre Cafés y Libros"</t>
  </si>
  <si>
    <t>Crear un espacio de lectura, conversación y cultura en el centro de Rengo que fomente el hábito lector, la creación literaria y el encuentro ciudadano.</t>
  </si>
  <si>
    <t>La escolaridad promedio de Rengo es 11,1 años (vs 12,1 nacional) y solo 39% accede a educación superior, reflejando brechas de capital cultural que afectan el IDHC educativo (0,55 a 0,72). La encuesta ciudadana (n=119) califica servicios municipales entre 2,82 y 3,35 sobre 5, evidenciando demanda insatisfecha de espacios de encuentro. El presupuesto cultural representa apenas 0,52% del gasto municipal total, mientras las 4.829 empresas comunales (1a en región) podrían auspiciar actividades culturales. La Ley 20.500 sobre participación y la ERD O"Higgins 2024-2036 promueven acceso a cultura en comunas intermedias. Las 14.191 conexiones de internet fijas (5a de 33, SINIM 2024) y 91,4% de hogares con internet (Censo 2024) facilitan la difusión digital de actividades culturales, aunque solo 11% usa tramites online frecuentemente (Encuesta ciudadana n=119).</t>
  </si>
  <si>
    <t>Eventos literarios realizados; Participación mensual; Ingresos por actividades; Satisfacción de usuarios</t>
  </si>
  <si>
    <t>0 espacios literarios municipales</t>
  </si>
  <si>
    <t>1 café literario operativo; 12 eventos/año</t>
  </si>
  <si>
    <t>24 eventos/año; 2.000 participantes/año</t>
  </si>
  <si>
    <t>Municipal + CNCA + Fondart</t>
  </si>
  <si>
    <t>ODS 4, 11, 17</t>
  </si>
  <si>
    <t>Evaluar Proyecto del Centro Cultural en Av. El Rodeo</t>
  </si>
  <si>
    <t>Evaluar Proyecto para un centro cultural de referencia en Av. El Rodeo que albergue salas de exposición, talleres artísticos, auditorio y espacios de creación para artistas locales.</t>
  </si>
  <si>
    <t>Rengo carece de centro cultural comunal para sus 65.786 habitantes, mientras el presupuesto municipal destina solo 0,52% a cultura frente a 84,57% de gasto corriente. La encuesta ciudadana (n=119) prioriza cultura con 41% de menciones y la encuesta NNA (n=21) la posiciona con 52%, evidenciando demanda transversal. El BIP registra $137 MM en educación/cultura/patrimonio (12,5% de la inversión total de $1.101 MM), con HHI de 0,41 que refleja alta concentración sectorial. La construcción alinea con la Ley 18.695 art. 4 letra c sobre desarrollo comunitario y los ODS 4 y 11. La Etnografía Social 2025 con +50 entrevistas semiestructuradas confirma la desconexión entre patrimonio histórico (fundación 1831, integración ferroviaria 1865) y percepción ciudadana actual. Los 3.813 habitantes de pueblos originarios (5,99%, 89% mapuche) y 3.217 migrantes (5,06%) enriquecen la diversidad cultural que requiere visibilización (Censo INE 2024).</t>
  </si>
  <si>
    <t>Progreso de construcción (%); Actividades culturales programadas; Participación mensual</t>
  </si>
  <si>
    <t>0% avance; sin centro cultural comunal</t>
  </si>
  <si>
    <t>100% diseño; 30% construcción</t>
  </si>
  <si>
    <t>100% construido; 120 actividades/año; 15.000 asistentes/año</t>
  </si>
  <si>
    <t>FNDR + GORE + SUBDERE + Municipal</t>
  </si>
  <si>
    <t>Festival de los Saberes del Rio Claro: Rengo y Rosario</t>
  </si>
  <si>
    <t>Realizar un festival anual que celebra las tradiciones, gastronomía, artesanía y cultura del territorio asociado al Río Claro, integrando localidades de Rengo y Rosario.</t>
  </si>
  <si>
    <t>La identidad cultural de Rengo vinculada al Río Claro se ha debilitado: 66% de los ciudadanos encuestados (n=119) percibe identidad débil o muy débil, frente a solo 29% que la considera fuerte. Las precipitaciones han caído 30-35% respecto a la década de 1970, agravando la crisis hídrica con demanda de 220,8 hm3/año (95,3% para riego). Las 330 organizaciones comunitarias vigentes demandan espacios de encuentro cultural según la etnografía social con más de 50 entrevistas, y el presupuesto cultural de solo 0,52% limita la oferta. La Ley 20.500 mandata participación comunitaria y la ERD O"Higgins 2024-2036 prioriza identidad territorial. El análisis MBHT muestra que la dimensión cultural urbana alcanza solo 0,328 vs 0,082 rural, revelando una brecha que los festivales pueden ayudar a cerrar (Diagnóstico Territorial 2025).</t>
  </si>
  <si>
    <t>Asistentes al festival; Satisfacción de participantes; Impacto económico local; Eventos culturales realizados</t>
  </si>
  <si>
    <t>0 festivales temáticos del Río Claro</t>
  </si>
  <si>
    <t>1 festival/año; 3.000 asistentes</t>
  </si>
  <si>
    <t>1 festival consolidado; 8.000 asistentes; $50M impacto económico</t>
  </si>
  <si>
    <t>DIDECO + Oficina Turismo</t>
  </si>
  <si>
    <t>Municipal + FNDR + GORE + Privados</t>
  </si>
  <si>
    <t>Promoción de la Identidad Cultural y Sentido Pertenencia del Territorio</t>
  </si>
  <si>
    <t>Desarrollar campañas de comunicación y actividades que fortalezcan el sentido de pertenencia e identidad cultural de los habitantes de Rengo, destacando tradiciones, personajes y lugares emblemáticos.</t>
  </si>
  <si>
    <t>La migración alcanza 3.217 personas (5,06%, predominio venezolano 37%) y la urbanización acelerada (+20,6% desde 2001) transforman la identidad comunal de 65.786 habitantes. La encuesta ciudadana (n=119) revela que 66% percibe identidad débil o muy débil, con solo 29% apercibiéndole fuerte, mientras 70% identifica la inseguridad como principal problema. Los 3.813 habitantes de pueblos originarios (5,99%, 89% mapuche) aportan diversidad cultural que requiere visibilización. La Ley 20.500 sobre participación ciudadana y la ERD O"Higgins 2024-2036 establecen la identidad territorial como eje transversal de desarrollo. La Etnografía Social 2025 con +50 entrevistas semiestructuradas confirma la desconexión entre patrimonio histórico (fundación 1831, integración ferroviaria 1865) y percepción ciudadana actual.</t>
  </si>
  <si>
    <t>Campañas de identidad realizadas; Participación ciudadana; Impacto en sentido de pertenencia</t>
  </si>
  <si>
    <t>0 campañas de identidad cultural</t>
  </si>
  <si>
    <t>2 campañas/año; 5.000 alcance</t>
  </si>
  <si>
    <t>4 campañas/año; 20.000 alcance; 70% reconocimiento</t>
  </si>
  <si>
    <t>Municipal + CNCA</t>
  </si>
  <si>
    <t>ODS 11, 4, 17</t>
  </si>
  <si>
    <t>Recuperación de la Identidad Cultural "Rengo Nuestra Historia Comunal"</t>
  </si>
  <si>
    <t>Rescatar y preservar la identidad cultural e histórica de Rengo mediante proyectos de restauración patrimonial, registro de memoria oral y creación de archivo histórico comunal.</t>
  </si>
  <si>
    <t>La comuna carece de registro sistemático de su patrimonio histórico (fundación 1831, integración ferroviaria 1865, estatua Toqui Caupolicán de Nicanor Plaza). La medialuna y galpón cultural presentan deterioro crítico, y la ex estación ferroviaria tiene alto valor histórico pero está deteriorada. Las 330 organizaciones comunitarias son portadoras de saberes en riesgo de pérdida según la etnografía social con más de 50 entrevistas. El PRC lleva 16 años sin actualizar, dificultando la protección patrimonial, y el diagnóstico normativo identifica 0% de cobertura en educación/cultura entre sus 65 instrumentos normativos. La Etnografía Social 2025 con +50 entrevistas semiestructuradas confirma la desconexión entre patrimonio histórico (fundación 1831, integración ferroviaria 1865) y percepción ciudadana actual. Los 3.813 habitantes de pueblos originarios (5,99%, 89% mapuche) y 3.217 migrantes (5,06%) enriquecen la diversidad cultural que requiere visibilización (Censo INE 2024).</t>
  </si>
  <si>
    <t>Proyectos de preservación ejecutados; Espacios patrimoniales restaurados; Participación comunitaria</t>
  </si>
  <si>
    <t>0 proyectos de preservación patrimonial</t>
  </si>
  <si>
    <t>3 proyectos; 2 espacios restaurados</t>
  </si>
  <si>
    <t>8 proyectos; 5 espacios restaurados; archivo digital operativo</t>
  </si>
  <si>
    <t>Municipal + CNCA + Fondart + CMN</t>
  </si>
  <si>
    <t>OE 1.2 Inventario y protección patrimonial</t>
  </si>
  <si>
    <t>R7: Ordenanza de Protección del Patrimonio Cultural y Natural</t>
  </si>
  <si>
    <t>Crear ordenanza que proteja patrimonio agricola, vitivinicola, arquitectónico e inmaterial de Rengo.</t>
  </si>
  <si>
    <t>Sin registro sistemático de patrimonio pese a fundación 1831. Medialuna y galpón cultural deteriorados. Ex estación ferroviaria deteriorada. 66% identidad débil. 0% NNA evalúa positivamente la comuna. Presupuesto cultura 0,52%.</t>
  </si>
  <si>
    <t>Ordenanza patrimonial; catálogo</t>
  </si>
  <si>
    <t>Sin ordenanza patrimonial</t>
  </si>
  <si>
    <t>Ordenanza + catálogo completo</t>
  </si>
  <si>
    <t>Evaluación estado cada 3 años</t>
  </si>
  <si>
    <t>DIDECO + Cultura + Jurídica</t>
  </si>
  <si>
    <t>Municipal + CMN</t>
  </si>
  <si>
    <t>ODS 11</t>
  </si>
  <si>
    <t>Recuperación y Puesta en Valor del Teatro Municipal de Rengo</t>
  </si>
  <si>
    <t>Restaurar y modernizar el histórico Teatro Municipal como espacio de producción artística, eventos culturales y encuentro comunitario, preservando valor patrimonial e incorporando tecnología moderna y accesibilidad universal.</t>
  </si>
  <si>
    <t>Teatro Municipal: hito patrimonial citado en crónicas (Soto Pizarro, 2010) junto a Hotel Olimpo y Plazoleta Prat. BIP registra 10 registros y 8 años entre Perfil-Diseño sin materializar: proyecto emblemático rezagado. 66% ciudadanía percibe identidad débil (n=119). 0% NNA evalúa positivamente Rengo (n=21). Cultura: 0,52% presupuesto. (Fuente: BIP/SNI 2025; Encuesta ciudadana n=119; Etnografía Social 2025)</t>
  </si>
  <si>
    <t>Progreso restauracion %; actividades/ano; asistentes</t>
  </si>
  <si>
    <t>Teatro deteriorado; 10 registros BIP sin materialización</t>
  </si>
  <si>
    <t>Diseño definitivo + inicio restauración</t>
  </si>
  <si>
    <t>Teatro operativo + 50 eventos/ano + 10.000 asistentes</t>
  </si>
  <si>
    <t>SECPLAN + DIDECO Cultura</t>
  </si>
  <si>
    <t>FNDR + CNCA + Municipal</t>
  </si>
  <si>
    <t>OE 1.3 Ampliar infraestructura deportiva</t>
  </si>
  <si>
    <t>Deportes y Bienestar</t>
  </si>
  <si>
    <t>Parques Elige Vivir Sano: Circuitos Deportivos en Sectores Rurales</t>
  </si>
  <si>
    <t>Extender Elige Vivir Sano a localidades rurales (Popeta, Lo Cartagena, Chanqueahue, El Retiro) con estaciones de ejercicio adaptadas y monitores comunitarios.</t>
  </si>
  <si>
    <t>82% funcionarios reconoce brecha territorial. Rural: 25,3% inversión BIP ($113 MM vs $987 MM urbano). Accesibilidad deportiva rural: 0,356 vs 0,582 urbano. 500+ jugadores sin infraestructura adecuada. La brecha urbano-rural en equipamiento deportivo es la más profunda del diagnóstico territorial. (Fuente: SINIM 2024; BIP 2025; MBHT-MINVU)</t>
  </si>
  <si>
    <t>N circuitos rurales; localidades cubiertas; participación</t>
  </si>
  <si>
    <t>0 circuitos rurales</t>
  </si>
  <si>
    <t>4 localidades con circuitos</t>
  </si>
  <si>
    <t>10 localidades + monitores permanentes</t>
  </si>
  <si>
    <t>MINDEP + FNDR + Municipal</t>
  </si>
  <si>
    <t>ODS 3, 10, 11</t>
  </si>
  <si>
    <t>Parques Elige Vivir Sano: Infraestructura Deportiva Comunitaria</t>
  </si>
  <si>
    <t>Diseñar e instalar circuitos de actividad física al aire libre bajo el programa nacional Elige Vivir Sano (MINDEP) en las principales plazas de Rengo, Rosario y Esmeralda, con máquinas de ejercicio adaptadas para los 8.796 adultos mayores y 7.256 personas con discapacidad de la comuna, señalética deportiva y programación comunitaria permanente.</t>
  </si>
  <si>
    <t>Rengo registra 1,96 m2/hab de áreas verdes (OMS 9-10). Los 8.796 AM (IE=72,1) y 7.256 PcD (12,1%) requieren espacios accesibles. PSCV: 10.528 pacientes crónicos (16,5%). Encuesta ciudadana prioriza deporte (41%). El programa MINDEP ofrece financiamiento para infraestructura deportiva comunitaria. (Fuente: SINIM 2024; Censo INE 2024; DEIS 2024)</t>
  </si>
  <si>
    <t>N parques Elige Vivir Sano; m2 infraestructura deportiva; participación mensual</t>
  </si>
  <si>
    <t>0 parques Elige Vivir Sano</t>
  </si>
  <si>
    <t>3 parques (Rengo, Rosario, Esmeralda)</t>
  </si>
  <si>
    <t>6 parques + cobertura rural</t>
  </si>
  <si>
    <t>ODS 3, 11</t>
  </si>
  <si>
    <t>OE 1.3 Fomentar la Recreación y Vida en Comunidad</t>
  </si>
  <si>
    <t>Salud Recreación y Bienestar Social</t>
  </si>
  <si>
    <t>Actualizar las Organizaciones Funcionales y Territoriales con "Matriz Territorial"</t>
  </si>
  <si>
    <t>Implementar la Matriz Territorial Comunal como sistema de registro sistematizado de las 330 organizaciones funcionales y territoriales de Rengo, integrando variables de tipo organizacional, cobertura territorial, estado de vigencia y niveles de participación por Unidad Vecinal. La Matriz operará como instrumento de planificación para la focalización de la inversión municipal en las 21 UVs del territorio comunal.</t>
  </si>
  <si>
    <t>La etnografía institucional con DIDECO (2025) revela que las 330 organizaciones comunitarias de Rengo carecen de un sistema de registro sistematizado. El 82% de los funcionarios municipales reconoce la brecha territorial urbano-rural en la distribución organizacional, y solo el 49% de la ciudadanía está dispuesta a participar sin condiciones (Encuesta ciudadana, n=119). La ausencia de una Matriz Territorial actualizada impide la focalización eficiente de recursos municipales y el cumplimiento del Art. 68 de la Ley 18.695 sobre fomento a las organizaciones comunitarias. Las JJVV entrevistadas señalan que la municipalidad desconoce el estado real de sus organizaciones en terreno.</t>
  </si>
  <si>
    <t>Organizaciones catastradas en la Matriz Territorial; % organizaciones con ficha actualizada anualmente; Plataforma digital de registro habilitada (S/N)</t>
  </si>
  <si>
    <t>Sin Matriz Territorial comunal sistematizada; datos organizacionales desactualizados</t>
  </si>
  <si>
    <t>Matriz Territorial operativa con 100% de organizaciones registradas; actualización semestral</t>
  </si>
  <si>
    <t>Plataforma digital integrada al sistema municipal; actualización continua; datos abiertos a la ciudadanía</t>
  </si>
  <si>
    <t>DIDECO + Secretaría Municipal</t>
  </si>
  <si>
    <t>Municipal</t>
  </si>
  <si>
    <t>ODS 11, 16, 17</t>
  </si>
  <si>
    <t>Apoyar la Equidad Territorial y Organzicional</t>
  </si>
  <si>
    <t>Fomentar la Equidad Territorial y Organizacional mediante intervenciones diferenciadas en zonas que acumulan rezago por baja inversión institucional, escasa organización social y desigualdad en el crecimiento territorial. La iniciativa prioriza las 12 Unidades Vecinales rurales donde el 82% de los funcionarios municipales reconoce una brecha estructural frente al centro urbano de Rengo, buscando la convergencia territorial establecida en la ERD O'Higgins 2024-2036.</t>
  </si>
  <si>
    <t>El diagnóstico PLADECO 2025 evidencia una profunda brecha territorial: el 82% de los funcionarios reconoce que los sectores rurales concentran mayor rezago (Etnografía Institucional, n=116). Las 21 localidades rurales levantadas muestran menores índices de equipamiento y mayor distancia a servicios. Las JJVV entrevistadas señalan que se perdieron proyectos por falta de seguimiento. La ERD O'Higgins 2024-2036 establece como prioridad la reducción de brechas urbano-rurales en comunas intermedias como Rengo, y la Ley 18.695 obliga al municipio a velar por el desarrollo equitativo de todos los sectores de la comuna.</t>
  </si>
  <si>
    <t>N° de zonas priorizadas con planes de intervención; % inversión en sectores rurales vs urbano; N° de proyectos ejecutados en zonas rezagadas</t>
  </si>
  <si>
    <t>Sin mecanismo formal de equidad territorial; inversión concentrada en centro urbano de Rengo</t>
  </si>
  <si>
    <t>3 programas de equidad territorial activos; 8 zonas priorizadas con intervención documentada</t>
  </si>
  <si>
    <t>Brecha urbano-rural en inversión reducida en 30%; todas las 21 UVs con intervención mínima acreditada</t>
  </si>
  <si>
    <t>DIDECO + SECPLAN + Alcaldía+ OLN</t>
  </si>
  <si>
    <t>Municipal + GORE + SUBDERE</t>
  </si>
  <si>
    <t>ODS 10, 11, 17</t>
  </si>
  <si>
    <t>Promover Capacitaciones a las Organizaciones Funcionales y Territoriales: "Rengo Participativo y Organizado"</t>
  </si>
  <si>
    <t>Promover capacitaciones e instancias informativas para las organizaciones funcionales y territoriales de la comuna sobre mecanismos de financiamiento externo: postulación al 8% del FNDR, FONDEVE, subvenciones municipales, fondos del IND, SERNATUR y sectoriales del MINVU y MINEDUC. El programa incluirá talleres presenciales por Unidad Vecinal, materiales de apoyo y acompañamiento técnico en la formulación de proyectos comunitarios, aumentando la materialización que actualmente no supera el 30,7% en BIP.</t>
  </si>
  <si>
    <t>Las 330 organizaciones comunitarias de Rengo trabajan con recursos propios ante la ausencia de capacitación en postulación a fondos externos (DIDECO Entrevista, 2025). Solo el 30,7% de los proyectos BIP registrados se materializan. El 8% FNDR, FONDEVE, subvenciones municipales e IND son fuentes subutilizadas. La Ley 20.500 establece el deber municipal de fortalecer las capacidades de las organizaciones comunitarias. Las JJVV entrevistadas identifican que postular a fondos es una necesidad urgente para el desarrollo territorial.</t>
  </si>
  <si>
    <t>N° talleres de capacitación realizados/año; N° organizaciones capacitadas; Monto total postulado a fondos externos; % proyectos aprobados por organizaciones</t>
  </si>
  <si>
    <t>Sin programa formal de capacitación en postulación a fondos; organizaciones autofinanciadas</t>
  </si>
  <si>
    <t>4 talleres anuales; 80 organizaciones capacitadas; 20 proyectos postulados a fondos externos</t>
  </si>
  <si>
    <t>100 organizaciones/año capacitadas; materialización proyectos comunitarios &gt;50%; red de formuladores comunitarios activa</t>
  </si>
  <si>
    <t>DIDECO + SECPLAN + Secretaría Municipal</t>
  </si>
  <si>
    <t>Municipal + SUBDERE + GORE</t>
  </si>
  <si>
    <t>Promover reuniones con las Organizaciones Funcionales y Territoriales</t>
  </si>
  <si>
    <t>Instaurar un calendario formal y sistemático de reuniones entre la Municipalidad de Rengo y las organizaciones funcionales y territoriales de cada una de las 21 Unidades Vecinales del territorio comunal. Las reuniones incluirán levantamiento de necesidades, rendición de cuentas de compromisos anteriores y planificación participativa de intervenciones, fortaleciendo la democracia local y el cumplimiento del Art. 68 de la Ley 18.695 sobre fomento a la organización comunitaria.</t>
  </si>
  <si>
    <t>El diagnóstico PLADECO 2025 registra 21 Unidades Vecinales cuyos dirigentes señalan escasas instancias de coordinación con la municipalidad. La etnografía con DIDECO revela que las reuniones con dirigentes fueron útiles pero no están sistematizadas. El 82% de los funcionarios reconoce la brecha territorial y los sectores rurales tienen mayor demanda insatisfecha. La Ley 18.695, Art. 68, establece que el municipio debe promover la participación ciudadana a través de las organizaciones territoriales, exigiendo instancias periódicas y formales de encuentro.</t>
  </si>
  <si>
    <t>N° reuniones por UV realizadas/año; % UVs con reunión mínima anual; N° de acuerdos implementados con seguimiento</t>
  </si>
  <si>
    <t>Sin calendario sistemático de reuniones por Unidad Vecinal; instancias ad-hoc no formalizadas</t>
  </si>
  <si>
    <t>21 UVs con reunión semestral garantizada; 42 reuniones/año con acta y seguimiento formal</t>
  </si>
  <si>
    <t>Reuniones trimestrales por UV; plataforma digital de seguimiento de compromisos; 80% acuerdos implementados</t>
  </si>
  <si>
    <t>DIDECO + Alcaldía + OLN</t>
  </si>
  <si>
    <t>Deportes</t>
  </si>
  <si>
    <t>Calistenia Universal en Zonas Recreativas (REVISAR)</t>
  </si>
  <si>
    <t>Instalar espacios de calistenia inclusivos y accesibles en áreas verdes y plazas, diseñados para personas con y sin discapacidad, promoviendo ejercicio gratuito al aire libre.</t>
  </si>
  <si>
    <t>Los 7.256 PcD (12,1%) de Rengo carecen de espacios deportivos adaptados en las áreas verdes comunales, vulnerando la Ley 20.422 de inclusión. Con solo 1,96 m2/hab de áreas verdes y 50% de plazas periféricas sin cobertura vegetal (suelo expuesto), se requiere equipamiento para maximizar espacios existentes. El 80% de especies arbóreas son exóticas, necesitando diseño paisajístico integral con especies nativas. Los 10.528 pacientes crónicos del PSCV y la vulnerabilidad FONASA A+B de 62,5% evidencian la necesidad de infraestructura deportiva preventiva accesible, conforme al ODS 10. La brecha entre los 441 PcD registrados en SENADIS y los 7.256 del Censo 2024 (12,1%) evidencia subregistro que demanda infraestructura inclusiva en toda la comuna (Censo INE 2024 vs SENADIS).</t>
  </si>
  <si>
    <t>Espacios de calistenia adaptados instalados; Participación de usuarios; Indicadores de inclusión</t>
  </si>
  <si>
    <t>0 espacios de calistenia inclusivos</t>
  </si>
  <si>
    <t>3 espacios instalados; 200 usuarios/semana</t>
  </si>
  <si>
    <t>8 espacios; 500 usuarios/semana; 100% accesibilidad universal</t>
  </si>
  <si>
    <t>Depto. Deportes + SECPLAN + DIDECO + OLN</t>
  </si>
  <si>
    <t>Municipal + FNDR + SENADIS</t>
  </si>
  <si>
    <t>Campeonato Escolar Anual: Futuros Talentos Deportivos</t>
  </si>
  <si>
    <t>Organizar un campeonato deportivo anual interescolar que promueva la competencia sana, detecte talentos y fortalezca la convivencia entre establecimientos educacionales de Rengo.</t>
  </si>
  <si>
    <t>La violencia escolar recurrente afecta al 24% de NNA (encuesta n=21) y la tasa de asistencia en educación media es 88,4% (11,6% deserción), requiriendo estrategias de retención y convivencia. El DAEM registra más de 170 sumarios activos por problemas de convivencia laboral, reflejando cultura organizacional con impacto en establecimientos. Los 27 establecimientos municipales (84,4% del total) atienden 9.766 estudiantes con logro PAES de 89,4% y brecha de 12,20 pp frente a subvencionados. El deporte escolar alinea con el ODS 4 y la Ley 20.710 de educación como derecho social. La cobertura municipal se recuperó de 64,32% (mínimo histórico 2011) a 75,41% (2024), ganando +11,09 pp, evidenciando que la retención escolar responde a estrategias integrales que incluyen deporte (SINIM 2024).</t>
  </si>
  <si>
    <t>Estudiantes participantes; Escuelas integradas; Talentos detectados; Índice de convivencia escolar</t>
  </si>
  <si>
    <t>1 campeonato informal; 300 estudiantes</t>
  </si>
  <si>
    <t>1 campeonato formal/año; 1.000 estudiantes; 15 escuelas</t>
  </si>
  <si>
    <t>1 campeonato consolidado; 2.000 estudiantes; 20 escuelas; programa talentos</t>
  </si>
  <si>
    <t>Depto. Deportes + DAEM</t>
  </si>
  <si>
    <t>Municipal + IND + MINEDUC</t>
  </si>
  <si>
    <t>ODS 3, 4, 16</t>
  </si>
  <si>
    <t>Escuelas Deportivas de Verano e Invierno</t>
  </si>
  <si>
    <t>Organizar escuelas deportivas municipales durante enero-febrero e invierno para niños y jóvenes de 6 a 17 años en recintos deportivos de Rengo, Rosario y localidades rurales, con disciplinas como fútbol, básquetbol, atletismo, natación y artes marciales, garantizando cobertura gratuita en las 21 unidades vecinales.</t>
  </si>
  <si>
    <t>La tasa de asistencia media es 88,4% (11,6% deserción) y se agrava durante vacaciones sin actividades estructuradas para los 9.766 alumnos municipales. La encuesta NNA (n=21) muestra 0% de evaluación positiva de la comuna como lugar para vivir, con 48% deseando cafeterías/cines y 19% centros juveniles. Los espacios deseados por NNA incluyen piscinas (14%), canchas (5%) y centros juveniles (19%), evidenciando demanda insatisfecha. Los delitos de drogas aumentaron 440%, requiriendo alternativas de ocupación del tiempo libre conforme al Plan Comunal de Seguridad 2025. Los delitos de armas crecieron 308% (de 13 a 53 casos), complementando el aumento en vida (+126%), drogas (+440%) y robos violentos (+107%). Los adultos mayores víctimas 65+ crecieron +554% en vida y +567% en robos, siendo grupo más vulnerable (Carabineros 2024).</t>
  </si>
  <si>
    <t>Participantes por temporada; Actividades ofrecidas; Satisfacción de padres y participantes</t>
  </si>
  <si>
    <t>1 escuela de verano informal; 100 participantes</t>
  </si>
  <si>
    <t>2 escuelas (verano/invierno); 400 participantes</t>
  </si>
  <si>
    <t>2 escuelas consolidadas; 800 participantes; 10 disciplinas; 90% satisfacción</t>
  </si>
  <si>
    <t>Depto. Deportes + DIDECO</t>
  </si>
  <si>
    <t>Municipal + IND + Privados</t>
  </si>
  <si>
    <t>ODS 3, 4, 10</t>
  </si>
  <si>
    <t>Eventos Comunitarios en Espacios Deportivos "Teatro y Cine al Aire Libre"</t>
  </si>
  <si>
    <t>Realizar funciones de teatro y cine al aire libre en recintos deportivos y plazas, ampliando el uso de infraestructura existente y democratizando el acceso a la cultura.</t>
  </si>
  <si>
    <t>La encuesta NNA (n=21) arroja 0% de evaluación positiva de la comuna como lugar para vivir, y 24% reporta violencia escolar recurrente, requiriendo alternativas de ocupación del tiempo libre. Las áreas verdes de 1,96 m2/hab con 60% de césped amarillento necesitan usos complementarios para activar espacios subutilizados. El 48% de NNA identifica la violencia escolar como problema percibido y 38% señala consumo de alcohol/drogas en su entorno. Estas actividades culturales contribuyen a la prevención situacional del delito conforme al Plan Comunal de Seguridad 2025 y la Ley 20.500. La MBHT identifica 21 manzanas críticas con BHT&lt;0,45 donde viven 4.136 personas (7,1%), sectores donde la oferta cultural gratuita tiene mayor impacto en bienestar (Diagnóstico PLADECO 2025).</t>
  </si>
  <si>
    <t>Eventos de teatro y cine realizados; Participación por evento; Satisfacción; Uso de espacios deportivos para cultura</t>
  </si>
  <si>
    <t>0 eventos culturales regulares en espacios deportivos</t>
  </si>
  <si>
    <t>12 eventos/año; 300 asistentes promedio</t>
  </si>
  <si>
    <t>24 eventos/año; 500 asistentes promedio; 6 recintos utilizados</t>
  </si>
  <si>
    <t>DIDECO + Depto. Deportes</t>
  </si>
  <si>
    <t>ODS 4, 11, 16</t>
  </si>
  <si>
    <t>Fútbol en Rengo: Torneo Regional</t>
  </si>
  <si>
    <t>Organizar un torneo regional de fútbol amateur que integre clubes locales y visitantes, fortaleciendo la tradición futbolística de Rengo.</t>
  </si>
  <si>
    <t>El fútbol amateur es la principal actividad deportiva en Rengo con múltiples clubes (300 socios, 500 jugadores reportados) arraigados en las 330 organizaciones comunitarias. Los delitos contra la vida aumentaron 126% y las infracciones a ley de drogas 440%, requiriendo estrategias de cohesión social para 65.786 habitantes. La encuesta ciudadana (n=119) identifica inseguridad como principal problema (70%), y el deporte es herramienta de prevención situacional del delito. El BIP registra solo $29 MM en deporte (2,6% de $1.101 MM de inversión total), evidenciando subinversión en un sector con alto impacto social. Los delitos de armas crecieron 308% (de 13 a 53 casos), complementando el aumento en vida (+126%), drogas (+440%) y robos violentos (+107%). Los adultos mayores víctimas 65+ crecieron +554% en vida y +567% en robos, siendo grupo más vulnerable (Carabineros 2024).</t>
  </si>
  <si>
    <t>Equipos participantes; Asistentes a partidos; Impacto económico local</t>
  </si>
  <si>
    <t>Torneos informales sin apoyo municipal</t>
  </si>
  <si>
    <t>1 torneo formal/año; 20 equipos; 2.000 espectadores</t>
  </si>
  <si>
    <t>1 torneo consolidado; 32 equipos; 5.000 espectadores; $40M impacto</t>
  </si>
  <si>
    <t>Depto. Deportes</t>
  </si>
  <si>
    <t>ODS 3, 8, 11</t>
  </si>
  <si>
    <t>Rengo en Movimiento: Domingos Deportivos para Todos</t>
  </si>
  <si>
    <t>Programar eventos deportivos y recreativos los domingos en plazas y parques, incluyendo actividades para todas las edades y capacidades, promoviendo vida sana y cohesión social.</t>
  </si>
  <si>
    <t>Los 8.796 adultos mayores (IE=72,1, aumento desde 53,8 en 2017) y 7.256 PcD (12,1%) requieren espacios de actividad física accesible conforme a la Ley 20.422 de inclusión. El PSCV registra 10.528 pacientes crónicos bajo control (16,5% de la población), con predominio femenino de 61,9%, y las áreas verdes de 1,96 m2/hab limitan opciones recreativas para los 65.786 habitantes. La vulnerabilidad en salud FONASA A+B alcanza 62,5%, correlacionando pobreza con sedentarismo. El ranking SUBDERE (11° de 33) exige innovar en servicios comunitarios para mejorar el logro del 58,4%. La red de salud realiza 91.606 consultas medicas APS (3a regional, promedio 43.894) y 520.000 prestaciones anuales (+176% desde 2012). Los ESPA alcanzan 4.535 (+152% sobre promedio regional), demostrando capacidad de atención que requiere consolidación (SINIM 2024).</t>
  </si>
  <si>
    <t>Eventos dominicales realizados; Participación promedio; Diversidad etaria de participantes; Satisfacción</t>
  </si>
  <si>
    <t>0 programas deportivos dominicales regulares</t>
  </si>
  <si>
    <t>40 domingos/año; 200 participantes promedio</t>
  </si>
  <si>
    <t>48 domingos/año; 500 participantes promedio</t>
  </si>
  <si>
    <t>Municipal + IND + Dpto. Salud</t>
  </si>
  <si>
    <t>Rugby en Rengo: Torneo Regional</t>
  </si>
  <si>
    <t>Organizar un torneo regional de rugby que promueve esta disciplina emergente, fomentando valores de respeto, trabajo en equipo y vida sana.</t>
  </si>
  <si>
    <t>El rugby es disciplina emergente en O"Higgins sin espacios de competencia formal en Rengo, comuna con 65.786 habitantes y creciente demanda deportiva juvenil. La encuesta NNA (n=21) reporta 24% de violencia escolar recurrente y 48% identifica inseguridad como problema, mientras el deporte colectivo es herramienta probada de convivencia. El 38% de NNA señala consumo de alcohol/drogas en su entorno, con infracciones a ley de drogas que aumentan 440%. La Ley 19.712 del Deporte y los ODS 3 y 16 fundamentan el uso del deporte como estrategia de prevención y cohesión social comunitaria. La tasa de crimen organizado de O"Higgins es 52 por 100.000 hab. (2a más baja del país vs 437 nacional), pero los delitos contra la vida crecieron 126%, haciendo del deporte una estrategia preventiva clave (MIPP 2024).</t>
  </si>
  <si>
    <t>Equipos participantes; Participación de jugadores; Impacto en convivencia</t>
  </si>
  <si>
    <t>0 torneos de rugby en Rengo</t>
  </si>
  <si>
    <t>1 torneo/año; 8 equipos</t>
  </si>
  <si>
    <t>1 torneo consolidado; 12 equipos; liga local operativa</t>
  </si>
  <si>
    <t>Torneo Regional de Básquetbol</t>
  </si>
  <si>
    <t>Organizar un torneo regional de básquetbol en Rengo que posicione a la comuna como sede deportiva, generando actividad económica y promoviendo la disciplina.</t>
  </si>
  <si>
    <t>Rengo no cuenta con torneos deportivos regionales regulares pese a tener 4.829 empresas (1a en región) que podrían patrocinar eventos, y una ubicación estratégica a 23 km de Rancagua por Ruta 5. La OMIL realiza más de 500 colocaciones/año, pero el turismo deportivo es una fuente de empleo inexplorada para reducir la pobreza de 5,4%. La encuesta ciudadana (n=119) prioriza empleo con 27% de menciones y deporte con 41%. El IDHC evolucionó de 0,51 a 0,74, posicionando a Rengo como sede potencial conforme a la ERD O"Higgins 2024-2036 y el ODS 8. La estructura empresarial muestra 953 unidades en manufactura (1a regional, +256%), 834 en comercio (1a, +337%) y 714 en construcción (1a, +303%). Los 12.453 trabajadores en microempresas (78,3%) evidencian predominio de empleo en pequeña escala (SINIM 2024).</t>
  </si>
  <si>
    <t>Equipos participantes; Espectadores; Impacto económico estimado</t>
  </si>
  <si>
    <t>0 torneos regionales de básquetbol</t>
  </si>
  <si>
    <t>1 torneo/año; 16 equipos; 1.000 espectadores</t>
  </si>
  <si>
    <t>1 torneo consolidado; 24 equipos; 3.000 espectadores; $30M impacto</t>
  </si>
  <si>
    <t>Viviendo la Vida en Rengo: Actividad Física para Personas Mayores</t>
  </si>
  <si>
    <t>Desarrollar un programa de actividad física adaptada para los 8.796 adultos mayores de la comuna, con sesiones semanales de gimnasia funcional, newcom, pilates, yoga y caminatas guiadas en sedes comunitarias de las 21 unidades vecinales, articulado con CESFAM y monitores deportivos capacitados por MINDEP.</t>
  </si>
  <si>
    <t>Los 8.796 adultos mayores de Rengo (IE=72,1, aumento de 34% desde 2017) enfrentan riesgos de enfermedades crónicas: el PSCV registra 10.528 pacientes bajo control, con 61,9% mujeres y 38,1% hombres. La evaluación funcional de 2.287 adultos mayores muestra 42,8% con algún grado de riesgo/dependencia y 170 personas con dependencia grave. La tasa de mortalidad comunal (7,8 por 1.000) supera el promedio regional (7,5) y nacional (6,7), agravada por la vulnerabilidad FONASA A+B del 62,5%. La Ley 19.828 de SENAMA y el ODS 3 fundamentan intervenciones preventivas para esta población creciente. La red de salud realiza 91.606 consultas medicas APS (3a regional, promedio 43.894) y 520.000 prestaciones anuales (+176% desde 2012). Los ESPA alcanzan 4.535 (+152% sobre promedio regional), demostrando capacidad de atención que requiere consolidación (SINIM 2024).</t>
  </si>
  <si>
    <t>Programas implementados; Participación mensual adultos mayores; Indicadores de salud (presión, IMC)</t>
  </si>
  <si>
    <t>2 programas esporádicos; 80 participantes</t>
  </si>
  <si>
    <t>6 programas permanentes; 400 participantes</t>
  </si>
  <si>
    <t>10 programas; 800 participantes; 20% mejora indicadores salud</t>
  </si>
  <si>
    <t>Depto. Deportes + Depto. Salud</t>
  </si>
  <si>
    <t>Municipal + IND + SENAMA</t>
  </si>
  <si>
    <t>OE 1.4 Ampliar la Oferta Deportiva y la Infraestructura Asociada</t>
  </si>
  <si>
    <t>Alianzas Deportivas con Entidades "Bienvenidos al Rengo del Deporte"</t>
  </si>
  <si>
    <t>Establecer convenios con federaciones deportivas, universidades, empresas y clubes para ampliar la oferta deportiva, captar recursos y profesionalizar la gestión del deporte comunal.</t>
  </si>
  <si>
    <t>El Departamento de Deportes opera con recursos limitados: el presupuesto municipal destina 84,57% a gasto corriente y la dependencia de transferencias alcanza 75,2%, con ingresos propios de solo 9%. Las 4.829 empresas comunales (1a en región) representan potencial de alianzas público-privadas que la OMIL puede facilitar. La encuesta funcionaria (n=116) prioriza fortalecer coordinación interdepartamental (45%) y modernizar procesos (62%). La construcción de sede UOH en Rengo abre oportunidades de convenio académico-deportivo conforme a la Ley 19.712 del Deporte. La estructura empresarial muestra 953 unidades en manufactura (1a regional, +256%), 834 en comercio (1a, +337%) y 714 en construcción (1a, +303%). Los 12.453 trabajadores en microempresas (78,3%) evidencian predominio de empleo en pequeña escala (SINIM 2024).</t>
  </si>
  <si>
    <t>Alianzas formalizadas; Recursos obtenidos por alianzas; Impacto en oferta deportiva</t>
  </si>
  <si>
    <t>0 convenios deportivos formales</t>
  </si>
  <si>
    <t>5 alianzas; $50M en recursos externos</t>
  </si>
  <si>
    <t>12 alianzas; $200M en recursos; 5 nuevas disciplinas</t>
  </si>
  <si>
    <t>Depto. Deportes + SECPLAN</t>
  </si>
  <si>
    <t>Municipal + IND + Privados + Universidades</t>
  </si>
  <si>
    <t>ODS 3, 17</t>
  </si>
  <si>
    <t>Apoyando las Disciplinas: Mejora Infraestructura Deportiva</t>
  </si>
  <si>
    <t>Mejorar y mantener las instalaciones deportivas existentes con reparaciones, equipamiento actualizado, iluminación y accesibilidad universal.</t>
  </si>
  <si>
    <t>Las instalaciones deportivas comunales presentan deterioro generalizado: el gimnasio de Rosario tiene conservación deficiente, la medialuna y galpón están en abandono crítico, y el diagnóstico de 57+ puntos georreferenciados confirma patrón de mantención deficiente. Los 7.256 PcD (12,1%) requieren accesibilidad universal en recintos deportivos conforme a la Ley 20.422. La ejecución de inversiones cayó de 76% (2018) a 32,2% (2024), una caída de 43,8 pp que evidencia subejecución de recursos estimados en MM $3.526 anuales. El ranking SUBDERE (11° de 33) cayó de 80% a 58,4% de logro, requiriendo mejora en servicios. El patrimonio municipal paso de -$1.460M (2012) a +$9.400M (2023, +$10.860M), con transparencia CPLT mejorando de 16,41% a 97,89%. Sin embargo, el gasto corriente de 84,57% y gasto en personal de 74,0% (sobre umbral CGR de 70%) limitan inversión (SINIM 2024).</t>
  </si>
  <si>
    <t>Instalaciones mejoradas; Disciplinas beneficiadas; Satisfacción de usuarios</t>
  </si>
  <si>
    <t>Sin catastro de estado de instalaciones</t>
  </si>
  <si>
    <t>Catastro completo; 5 instalaciones mejoradas</t>
  </si>
  <si>
    <t>15 instalaciones mejoradas; 100% con accesibilidad; 85% satisfacción</t>
  </si>
  <si>
    <t>Depto. Deportes + DOM</t>
  </si>
  <si>
    <t>Municipal + FNDR + IND</t>
  </si>
  <si>
    <t>El Guerrero de Rengo: Complejo Deportivo Multifuncional</t>
  </si>
  <si>
    <t>Estudiar, Diseñar y Postular un complejo deportivo multifuncional con canchas techadas, gimnasio, piscina temperada y salas multiuso para la práctica deportiva de toda la comunidad.</t>
  </si>
  <si>
    <t>Rengo carece de complejo deportivo comunal para 65.786 habitantes, obligando a deportistas a trasladarse a Rancagua (23 km). Las áreas verdes de 1,96 m2/hab incluyen escasas instalaciones deportivas de calidad, con el gimnasio de Rosario en conservación deficiente y la medialuna en abandono crítico. La encuesta ciudadana (n=119) prioriza deporte y recreación con 41% de menciones, y el BIP registra solo 85 proyectos deportivos (7,2%) con $29 MM de inversión (2,6%). La ejecución de inversiones cayó de 76% (2018) a 32,2% (2024), requiriendo proyectos emblemáticos que reviertan la tendencia. La tasa de materialización PIB cayó de 49,4% (2006-2013) a 30,7% (2014-2025), con brecha de $349 MM entre formulado y ejecutado, requiriendo proyectos emblemáticos con alta visibilidad (Análisis BIP 2025).</t>
  </si>
  <si>
    <t>Progreso de construccion (%); Usuarios mensuales; Satisfacción de usuarios</t>
  </si>
  <si>
    <t>0% avance; sin complejo deportivo comunal</t>
  </si>
  <si>
    <t>100% construido; 3.000 usuarios/mes; 85% satisfacción</t>
  </si>
  <si>
    <t>SECPLAN + DOM + Depto. Deportes</t>
  </si>
  <si>
    <t>FNDR + GORE + IND + Municipal</t>
  </si>
  <si>
    <t>ODS 3, 9, 11</t>
  </si>
  <si>
    <t>FONDEPORTE: Becas para Atletas de Alto Rendimiento</t>
  </si>
  <si>
    <t>Otorgar becas municipales a atletas destacados de Rengo para financiar entrenamiento, competencias regionales y nacionales, equipamiento y apoyo técnico.</t>
  </si>
  <si>
    <t>Rengo carece de sistema de becas deportivas pese a contar con clubes con 300 socios y 500 jugadores reportados en una comuna con 4.829 empresas (1a en región) que podrían cofinanciar. La pobreza de 5,4% (CASEN 2022) y multidimensional de 13,6% dificultan que familias financian carreras deportivas. La encuesta NNA (n=21) identifica deportes como actividad deseada por 43%, y la escolaridad de 11,1 años limita opciones de movilidad social. La Ley 19.712 del Deporte establece responsabilidad municipal en fomento deportivo conforme al ODS 10 de reducción de desigualdades. El retiro en educación media bajó a 1,51% (reduccion 69% desde 4,89% en 2009), evidenciando mejora en retención. La cobertura municipal recuperó de 64,32% (2011) a 75,41% (2024), mientras la matrícula total comunal creció 5,9% (de 12.752 a 13.510; SINIM 2024).</t>
  </si>
  <si>
    <t>Becas otorgadas; Desempeño competitivo de becados; Talentos en selecciones regionales/nacionales</t>
  </si>
  <si>
    <t>0 becas deportivas municipales</t>
  </si>
  <si>
    <t>10 becas/año; 3 atletas en selecciones</t>
  </si>
  <si>
    <t>20 becas/año; 8 atletas en selecciones; 2 atletas nivel nacional</t>
  </si>
  <si>
    <t>Depto. Deportes + DAF</t>
  </si>
  <si>
    <t>Municipal + IND + FONDEPORTE</t>
  </si>
  <si>
    <t>Formulación de Proyectos "Construir el Deporte en Rengo"</t>
  </si>
  <si>
    <t>Desarrollar una cartera de proyectos de infraestructura deportiva con diseños, estudios de factibilidad y postulación a fondos sectoriales y regionales.</t>
  </si>
  <si>
    <t>La falta de proyectos formulados impide acceder a FNDR e IND: el BIP registra solo 85 proyectos deportivos (7,2% del total) con $29 MM de inversión (2,6% de $1.101 MM). El ranking SUBDERE ubica a Rengo en puesto 11 de 33 municipalidades, habiendo caído de 80% a 58,4% de logro con el nuevo instrumento de 26 ámbitos. La ejecución de inversiones municipales descendió a 32,2% en 2024, con recursos no ejecutados estimados en MM $3.526 anuales. La tasa de materialización BIP cayó a 30,7% (2014-2025), con 257 postulaciones representando 61,2% del total. La captación de transferencias es de solo 6,28% vs promedio de 13,89%, representando oportunidad no aprovechada que la formulación de proyectos deportivos ante FNDR e IND puede capturar (SINIM 2024).</t>
  </si>
  <si>
    <t>Proyectos aprobados por fondos; Espacios deportivos construidos; Participación de beneficiarios</t>
  </si>
  <si>
    <t>0 proyectos deportivos en cartera FNDR</t>
  </si>
  <si>
    <t>3 proyectos formulados; 1 aprobado</t>
  </si>
  <si>
    <t>8 proyectos formulados; 5 aprobados y ejecutados</t>
  </si>
  <si>
    <t>SECPLAN + Depto. Deportes</t>
  </si>
  <si>
    <t>Municipal + FNDR + IND + GORE</t>
  </si>
  <si>
    <t>ODS 9, 11, 17</t>
  </si>
  <si>
    <t>Estudiar la Construcción de Polideportivo de Rosario</t>
  </si>
  <si>
    <t>Estudiar la construcción de un polideportivo en la localidad de Rosario con canchas multiuso, gimnasio y espacios de recreación para descentralizar la oferta deportiva comunal.</t>
  </si>
  <si>
    <t>Rosario (12.000 hab aprox.) carece de infraestructura deportiva adecuada; el gimnasio municipal presenta conservación deficiente con falta de vidrios y deterioro exterior. El BIP muestra concentración territorial extrema: Rosario tiene solo 72 proyectos ($8 MM) vs Rengo Centro con 776 ($960 MM, 87,2%). El déficit habitacional de 5,9% (1.401 unidades) se acompaña de escaso equipamiento comunitario, y la encuesta funcionaria (n=116) reconoce la brecha territorial con 82% de consenso. La Ley 18.695 art. 4 letra c sobre desarrollo comunitario fundamenta la descentralización de inversiones conforme al ODS 10. El patrimonio municipal paso de -$1.460M (2012) a +$9.400M (2023, +$10.860M), con transparencia CPLT mejorando de 16,41% a 97,89%. Sin embargo, el gasto corriente de 84,57% y gasto en personal de 74,0% (sobre umbral CGR de 70%) limitan inversión (SINIM 2024).</t>
  </si>
  <si>
    <t>Progreso de construcción (%); Actividades deportivas programadas; Participación mensual</t>
  </si>
  <si>
    <t>0% avance; sin polideportivo en Rosario</t>
  </si>
  <si>
    <t>100% diseño; 20% construcción</t>
  </si>
  <si>
    <t>100% construido; 1.500 usuarios/mes; 8 disciplinas</t>
  </si>
  <si>
    <t>Rengo +Activo y +Vivo: Ciclovías y Espacios para Running</t>
  </si>
  <si>
    <t>Diseñar y construir ciclovías urbanas y circuitos de running en Rengo y Rosario, conectando barrios con áreas verdes y equipamiento deportivo, promoviendo transporte sustentable y vida activa.</t>
  </si>
  <si>
    <t>Rengo tiene 0 km de ciclovías, contrastando con recomendaciones de movilidad sustentable para una comuna de 65.786 habitantes con densidad de &gt;4.000 hab/km2 en casco urbano. Las precipitaciones han disminuido 30-35% y la demanda hídrica es de 220,8 hm3/año, requiriendo modos de transporte con menor huella de carbono. La irradiancia solar de 5,3 kWh/m2/día evidencia potencial para infraestructura verde, y los 7.256 PcD (12,1%) necesitan rutas accesibles. El PRC desactualizado (16+ años) no contempla movilidad sustentable, contraviniendo el ODS 11 y la ERD O"Higgins 2024-2036. La infraestructura vial debe considerar la cobertura de alcantarillado: 82,3% urbano vs 51,4% rural (brecha de 30,9 pp), con 18,2% de hogares rurales usando fosa séptica (Censo 2024).</t>
  </si>
  <si>
    <t>Km de ciclovías construidos; Espacios de running habilitados; Participación de usuarios</t>
  </si>
  <si>
    <t>0 km de ciclovías; 0 circuitos running</t>
  </si>
  <si>
    <t>5 km ciclovías; 2 circuitos running</t>
  </si>
  <si>
    <t>15 km ciclovías; 5 circuitos running; 2.000 usuarios/semana</t>
  </si>
  <si>
    <t>FNDR + MINVU + Municipal + MOP</t>
  </si>
  <si>
    <t>ODS 3, 11, 13</t>
  </si>
  <si>
    <t>Vivimos el Deporte: Escuelas Deportivas Municipales</t>
  </si>
  <si>
    <t>Crear escuelas deportivas municipales en diversas disciplinas (fútbol, básquetbol, atletismo, natación, artes marciales) para niños y jóvenes, con entrenadores calificados.</t>
  </si>
  <si>
    <t>La comuna de 65.786 habitantes carece de escuelas deportivas municipales formales, con matricula municipal de 9.766 alumnos sin actividades extracurriculares deportivas estructuradas. La tasa de asistencia media es 88,4% (11,6% deserción) y el deporte puede ser herramienta de retención escolar, mientras la encuesta NNA (n=21) prioriza deporte y recreación con 52% de menciones. Los delitos de drogas aumentaron 440% y los crímenes contra la vida 126%, requiriendo estrategias preventivas para NNA. La Ley 19.712 del Deporte y el ODS 3 fundamentan la inversión en formación deportiva juvenil. Los espacios deseados por NNA incluyen piscinas (14%), canchas (5%) y centros juveniles (19%), con 43% priorizando deportes como actividad (Diagnóstico NNA n=21).</t>
  </si>
  <si>
    <t>Escuelas deportivas creadas; Participación de niños y jóvenes; Disciplinas ofrecidas</t>
  </si>
  <si>
    <t>0 escuelas deportivas municipales formales</t>
  </si>
  <si>
    <t>5 escuelas; 500 inscritos; 5 disciplinas</t>
  </si>
  <si>
    <t>10 escuelas; 1.500 inscritos; 10 disciplinas</t>
  </si>
  <si>
    <t>Municipal + IND + FNDR</t>
  </si>
  <si>
    <t>OE 1.4 Fortalecer programas de inclusión social para adultos mayores, personas con discapacidad y migrantes</t>
  </si>
  <si>
    <t>Atenciones Móviles Salud de la Mujer"Rengo Te Cuida"</t>
  </si>
  <si>
    <t>Poner en operación una unidad móvil especializada en salud de la mujer que recorra las 12 unidades vecinales rurales y sectores periurbanos con menor acceso a servicios, ofreciendo mamografías, PAP, ecografías ginecológicas y controles preventivos coordinados con la red de salud primaria de Rengo.</t>
  </si>
  <si>
    <t>La VIF registra 608 casos anuales con 78% contra mujeres, haciendo prioritaria la salud integral femenina. La vulnerabilidad en salud alcanza 62,5% (FONASA A+B) y la tasa de mortalidad comunal (7,8/1.000) supera promedios regionales. Los servicios de salud de la mujer se concentran en centros urbanos, excluyendo al 14,6% rural. Las mujeres representan 32.503 beneficiarias (51,4%) con 6.518 mujeres en PSCV (61,9% del total). La VIF afecta principalmente a mujeres 30-44 años (175 casos, 28,7%), con 22 niños &lt;14 y 14 adolescentes 14-17 también afectados (Carabineros 2024). La mortalidad infantil bajó a mínimo histórico de 3,0 por 1.000 nacidos vivos en 2024, pero persisten brechas en salud reproductiva que requieren atención móvil focalizada. (Fuente: DEIS 2024; Censo INE 2024; Etnografía Social 2025)</t>
  </si>
  <si>
    <t>Número de atenciones ginecológicas móviles; Cobertura de PAP y mamografía; Localidades atendidas</t>
  </si>
  <si>
    <t>Atención de salud de la mujer concentrada en centros urbanos</t>
  </si>
  <si>
    <t>1 unidad móvil + operativos mensuales en localidades rurales</t>
  </si>
  <si>
    <t>2 unidades móviles + cobertura 100% localidades + telemedicina</t>
  </si>
  <si>
    <t>Depto. Salud Municipal + Oficina de la Mujer</t>
  </si>
  <si>
    <t>Municipal + MINSAL + SERNAM + GORE</t>
  </si>
  <si>
    <t>ODS 3, 5</t>
  </si>
  <si>
    <t>Atención Integral de Salud Adultos Mayores Rurales"Salud sin Barreras"</t>
  </si>
  <si>
    <t>Crear programa especializado de atención integral para adultos mayores en sectores rurales, con equipos itinerantes de geriatría, kinesiología, salud mental y apoyo social.</t>
  </si>
  <si>
    <t>De los 8.796 adultos mayores (IE=72,1), un porcentaje significativo reside en zonas rurales con &lt;30 hab/km2 (distritos Popeta, Chanqueahue). La vulnerabilidad en salud alcanza 62,5% (FONASA A+B) y la tasa de mortalidad comunal (7,8/1.000) supera promedios nacionales. El BIP rural representa sólo $113 MM (11,5% de inversión total). La red de salud realiza 91.606 consultas medicas APS (3a regional, promedio 43.894) y 520.000 prestaciones anuales (+176% desde 2012). Los ESPA alcanzan 4.535 (+152% sobre promedio regional), demostrando capacidad de atención que requiere consolidación (SINIM 2024).</t>
  </si>
  <si>
    <t>Adultos mayores rurales atendidos; Frecuencia de visitas equipos itinerantes; Derivaciones oportunas a nivel secundario</t>
  </si>
  <si>
    <t>Atención geriátrica rural limitada y fragmentada</t>
  </si>
  <si>
    <t>Equipos itinerantes quincenales en 100% localidades rurales</t>
  </si>
  <si>
    <t>Atención geriátrica semanal en terreno + tele geriatría + centros satélite</t>
  </si>
  <si>
    <t>Depto. Salud Municipal + Oficina Adulto Mayor</t>
  </si>
  <si>
    <t>Municipal + SENAMA + MINSAL + GORE</t>
  </si>
  <si>
    <t>ODS 3, 10</t>
  </si>
  <si>
    <t>Capacitación Continua de Funcionarios de Salud</t>
  </si>
  <si>
    <t>Estructurar un programa anual de capacitación y desarrollo profesional para los funcionarios de la red de salud comunal de Rengo, abarcando competencias clínicas actualizadas, gestión sanitaria, tecnologias de informacion en salud y atención centrada en el usuario, con certificación SENCE y seguimiento del desempeño.</t>
  </si>
  <si>
    <t>La red de salud de Rengo atendió 520.000 prestaciones (2023) con dotación de 15.500 horas, requiriendo actualización permanente. La profesionalización municipal es 34,5% entre 939 funcionarios. La encuesta funcionaria (n=116) prioriza capacitación continua (34%) y modernización de procesos (62%). La red de salud realiza 91.606 consultas medicas APS (3a regional, promedio 43.894) y 520.000 prestaciones anuales (+176% desde 2012). Los ESPA alcanzan 4.535 (+152% sobre promedio regional), demostrando capacidad de atención que requiere consolidación (SINIM 2024).</t>
  </si>
  <si>
    <t>Horas de capacitación por funcionario/año; Porcentaje de funcionarios capacitados; Evaluación de competencias post-capacitación</t>
  </si>
  <si>
    <t>Capacitación esporádica sin plan estructurado</t>
  </si>
  <si>
    <t>Plan anual de capacitación + 40 hrs/funcionario/año + evaluación</t>
  </si>
  <si>
    <t>Sistema de desarrollo profesional continuo + certificación de competencias</t>
  </si>
  <si>
    <t>Depto. Salud Municipal + RRHH</t>
  </si>
  <si>
    <t>Municipal + MINSAL + Servicio Salud O'Higgins</t>
  </si>
  <si>
    <t>ODS 3, 4</t>
  </si>
  <si>
    <t>Capacitación a Cuidadores"Cuidando al Cuidador"</t>
  </si>
  <si>
    <t>Crear un programa de formación y apoyo integral dirigido a cuidadores de los 8.796 adultos mayores de la comuna, entregando técnicas de cuidado, manejo del estrés y autocuidado a través de talleres presenciales en sedes vecinales y módulos en línea, con apoyo psicológico y redes de soporte mutuo articuladas con CESFAM.</t>
  </si>
  <si>
    <t>Los cuidadores enfrentan sobrecarga con 8.796 adultos mayores en la comuna (170 con dependencia grave/total). La VIF registra 608 casos (78% contra mujeres), y el estrés del cuidador es factor de riesgo. La encuesta funcionaria (n=116) identifica disputas laborales en 22%, reflejando cultura de sobrecarga institucional. De los 608 casos VIF, 475 víctimas son mujeres (78%), con el grupo 30-44 años (175 casos) coincidiendo con edad de cuidadoras principales. Los 42 adultos mayores víctimas 65+ (+223% desde 2005) evidencian riesgo también para quienes reciben cuidados (Carabineros 2024).</t>
  </si>
  <si>
    <t>Cuidadores capacitados; Talleres de autocuidado realizados; Índice de sobrecarga del cuidador (Zarit)</t>
  </si>
  <si>
    <t>Apoyo aislado a cuidadores sin programa formal</t>
  </si>
  <si>
    <t>200 cuidadores capacitados + programa de autocuidado mensual</t>
  </si>
  <si>
    <t>500 cuidadores en programa + red de apoyo mutuo + respiro programado</t>
  </si>
  <si>
    <t>Oficina Adulto Mayor + Depto. Salud</t>
  </si>
  <si>
    <t>Municipal + SENAMA + MINSAL</t>
  </si>
  <si>
    <t>ODS 3, 5, 10</t>
  </si>
  <si>
    <t>Centros de Día para Adultos Mayores"Rengo Acompaña"</t>
  </si>
  <si>
    <t>Crear centros de día para adultos mayores que ofrezcan actividades de estimulación cognitiva, socialización, alimentación, cuidados básicos y respiro para familias cuidadoras durante jornada diurna.</t>
  </si>
  <si>
    <t>Rengo tiene 8.796 adultos mayores (13,8% de la población, IE=72,1) y 170 con dependencia grave/total. La encuesta ciudadana (n=119) prioriza salud con 46% de menciones. Los centros de día previenen institucionalización y deterioro funcional, fundamental ante el 42,8% con riesgo/dependencia. La red de salud realiza 91.606 consultas medicas APS (3a regional, promedio 43.894) y 520.000 prestaciones anuales (+176% desde 2012). Los ESPA alcanzan 4.535 (+152% sobre promedio regional), demostrando capacidad de atención que requiere consolidación (SINIM 2024).</t>
  </si>
  <si>
    <t>Número de centros de día operativos; Adultos mayores atendidos diariamente; Satisfacción de usuarios y familias</t>
  </si>
  <si>
    <t>0 centros de día para adultos mayores en la comuna</t>
  </si>
  <si>
    <t>1 centro de día operativo + 40 adultos mayores atendidos diariamente</t>
  </si>
  <si>
    <t>3 centros de día + cobertura territorial + 120 adultos mayores atendidos</t>
  </si>
  <si>
    <t>Oficina Adulto Mayor + SECPLAN</t>
  </si>
  <si>
    <t>Municipal + SENAMA + FNDR + GORE</t>
  </si>
  <si>
    <t>Continuidad de Atención de Salud en Sectores Rurales</t>
  </si>
  <si>
    <t>Garantizar la continuidad y mejora de la atención de salud primaria en sectores rurales de Rengo, fortaleciendo postas rurales, rondas médicas y servicios móviles para reducir brechas de acceso territorial.</t>
  </si>
  <si>
    <t>Rengo cuenta con 65.786 hab. (Censo 2024) con amplia dispersión rural y 14,6% de población rural. La red de salud primaria atiende 63.240 beneficiarios inscritos a través de 3 CESFAM, 1 SAR y 1 SAPU, pero postas rurales presentan limitaciones de equipamiento. La vulnerabilidad en salud alcanza 62,5% (FONASA A+B). La población inscrita en salud (sept 2025) alcanza 65.879 personas, superando la censal de 65.786, evidenciando sobre-inscripción y demanda real (DEIS 2025). Las evaluaciones de desarrollo psicomotor (&lt;18 meses) alcanzan 1.641, un 281% sobre el promedio regional de 431 (SINIM 2024).</t>
  </si>
  <si>
    <t>Número de consultas realizadas en postas rurales; Porcentaje de cobertura rural atendida; Frecuencia de rondas médicas mensuales</t>
  </si>
  <si>
    <t>3 postas rurales operativas con atención parcial</t>
  </si>
  <si>
    <t>5 postas rurales + rondas médicas semanales en 100% localidades</t>
  </si>
  <si>
    <t>8 postas rurales equipadas + cobertura 100% población rural</t>
  </si>
  <si>
    <t>Depto. Salud Municipal + SECPLAN</t>
  </si>
  <si>
    <t>Municipal + MINSAL + GORE O"Higgins</t>
  </si>
  <si>
    <t>Convenios Docente Asistencial"Salud y Educación en Sinergia"</t>
  </si>
  <si>
    <t>Establecer convenios docente-asistenciales con universidades e institutos para que estudiantes de carreras de salud realicen prácticas clínicas en la red de salud comunal, fortaleciendo capacidad resolutiva.</t>
  </si>
  <si>
    <t>La formación de profesionales en contexto comunal beneficia la red con 63.240 beneficiarios inscritos. Las prestaciones de salud crecieron 176% (de 188.486 a 520.000) y la dotación en horas de 6.295 a 15.500 (+146%). Los convenios docente-asistenciales aumentan capacidad resolutiva para los 10.528 pacientes crónicos. El per cápita financiero en 2012 era inferior a $3.500/beneficiario, habiendo mejorado significativamente. Los convenios docente-asistenciales fortalecen capacidad resolutiva para 91.606 consultas APS anuales (3a regional; SINIM 2024).</t>
  </si>
  <si>
    <t>Número de convenios vigentes; Estudiantes en práctica por año; Horas de atención adicional generadas</t>
  </si>
  <si>
    <t>1 convenio docente-asistencial vigente</t>
  </si>
  <si>
    <t>4 convenios con universidades + 30 estudiantes anuales</t>
  </si>
  <si>
    <t>8 convenios + programa permanente + investigación aplicada en salud comunal</t>
  </si>
  <si>
    <t>Municipal + Universidades + MINSAL</t>
  </si>
  <si>
    <t>ODS 3, 4, 17</t>
  </si>
  <si>
    <t>Salud en el Territorio: Servicios Móviles de Salud en Localidades</t>
  </si>
  <si>
    <t>Desplegar unidades móviles de salud hacia localidades rurales y periurbanas, ofreciendo atención médica, dental, kinesiología, salud mental y exámenes preventivos directamente en terreno.</t>
  </si>
  <si>
    <t>La dispersión territorial de Rengo dificulta acceso a salud: la población inscrita (63.240) supera la censal (65.786 hab.) evidenciando sobre-inscripción. Con 14,6% de ruralidad y distritos como Chanqueahue (232,5 km2) y Popeta (142,9 km2) a baja densidad (&lt;30 hab/km2), los servicios móviles son esenciales. La red de salud realiza 91.606 consultas medicas APS (3a regional, promedio 43.894) y 520.000 prestaciones anuales (+176% desde 2012). Los ESPA alcanzan 4.535 (+152% sobre promedio regional), demostrando capacidad de atención que requiere consolidación (SINIM 2024).</t>
  </si>
  <si>
    <t>Número de operativos móviles realizados por mes; Localidades cubiertas; Atenciones realizadas en terreno</t>
  </si>
  <si>
    <t>Operativos móviles esporádicos sin programación fija</t>
  </si>
  <si>
    <t>2 unidades móviles + operativos semanales en 100% localidades</t>
  </si>
  <si>
    <t>4 unidades móviles + cobertura permanente + telemedicina rural</t>
  </si>
  <si>
    <t>Espacios de Autocuidado en Centros de Salud (Salud Mental)</t>
  </si>
  <si>
    <t>Crear espacios de autocuidado y bienestar emocional en centros de salud comunales, con talleres de manejo del estrés, mindfulness, actividad física y apoyo psicológico grupal para usuarios y funcionarios.</t>
  </si>
  <si>
    <t>La encuesta NNA (n=21) arroja 0% de evaluación positiva de la comuna y 24% reporta violencia escolar recurrente. La VIF registra 608 casos (78% contra mujeres), evidenciando necesidad de espacios de contención emocional. Los AVPP aumentaron 46,3% entre 2018 y 2022 (de 3.778 a 5.738). Segun el MIPP, solo 18-28% de victimas de VIF denuncia, sugiriendo prevalencia real de 2.170-3.380 casos. Los agresores identificados suman 384 (300 hombres=78,1%, 84 mujeres), con 42 adultos mayores víctimas 65+ (+223% desde 2005; Carabineros 2024).</t>
  </si>
  <si>
    <t>Número de espacios de autocuidado implementados; Usuarios atendidos mensualmente; Índice de satisfacción usuaria en salud mental</t>
  </si>
  <si>
    <t>0 espacios formales de autocuidado en centros de salud</t>
  </si>
  <si>
    <t>3 espacios operativos en CESFAM principales + talleres semanales</t>
  </si>
  <si>
    <t>Espacios de autocuidado en 100% centros de salud + programa permanente</t>
  </si>
  <si>
    <t>Depto. Salud Municipal</t>
  </si>
  <si>
    <t>Municipal + MINSAL + SENDA</t>
  </si>
  <si>
    <t>ODS 3</t>
  </si>
  <si>
    <t>Implementación EDICEP – Nuevas Estrategias de Salud Primaria (Piloto)</t>
  </si>
  <si>
    <t>Poner en marcha el modelo EDICEP como piloto en los centros de salud primaria de Rengo, integrando equipos multidisciplinarios de intervención comunitaria, continuidad asistencial y evaluación participativa con la población de 65.786 habitantes, para mejorar indicadores de resolutividad y satisfacción usuaria.</t>
  </si>
  <si>
    <t>El modelo tradicional de salud primaria requiere innovación: Rengo tiene 10.528 pacientes crónicos bajo control en PSCV (16,5% de la población) y 5,4% de pobreza. La tasa de mortalidad comunal (7,8 por 1.000) supera promedio regional y nacional, requiriendo estrategias comunitarias integradas. Los ESPA (Exámenes Salud Preventivos Adulto) alcanzan 4.535, un 152% sobre el promedio regional de 1.798, demostrando capacidad de innovación preventiva. La mortalidad infantil bajó a mínimo histórico de 3,0 por 1.000 nacidos vivos en 2024, pero la tasa comunal general (7,8/1.000) sigue por sobre el promedio regional (DEIS 2024).</t>
  </si>
  <si>
    <t>Número de CESFAM con modelo EDICEP implementado; Tasa de resolución en APS; Satisfacción usuaria</t>
  </si>
  <si>
    <t>0 centros con modelo EDICEP</t>
  </si>
  <si>
    <t>2 CESFAM piloto con modelo EDICEP operativo</t>
  </si>
  <si>
    <t>100% red APS comunal con modelo EDICEP integrado</t>
  </si>
  <si>
    <t>Implementación de Exámenes Preventivos</t>
  </si>
  <si>
    <t>Ampliar la cobertura de exámenes de medicina preventiva (EMPA/EMPAM) en la comuna, con énfasis en detección temprana de enfermedades crónicas, salud mental y factores de riesgo en población vulnerable.</t>
  </si>
  <si>
    <t>Las brechas en cobertura de exámenes preventivos afectan a la población de 65.786 hab., especialmente los 8.796 adultos mayores (65+) y la población rural (14,6%). La mortalidad infantil en 2022 alcanzó 11,44 por 1.000 nacidos vivos (más del doble del nacional 5,86), evidenciando necesidad de detección temprana. La red de salud realiza 91.606 consultas medicas APS (3a regional, promedio 43.894) y 520.000 prestaciones anuales (+176% desde 2012). Los ESPA alcanzan 4.535 (+152% sobre promedio regional), demostrando capacidad de atención que requiere consolidación (SINIM 2024).</t>
  </si>
  <si>
    <t>Cobertura EMPA y EMPAM; Tasa de detección temprana de patologías crónicas; Número de exámenes realizados en operativos comunitarios</t>
  </si>
  <si>
    <t>Cobertura EMPA 45%, EMPAM 55%</t>
  </si>
  <si>
    <t>EMPA 70%, EMPAM 80% + operativos en ferias y localidades</t>
  </si>
  <si>
    <t>EMPA 90%, EMPAM 95% + sistema de seguimiento digital</t>
  </si>
  <si>
    <t>Municipal + MINSAL + FONASA</t>
  </si>
  <si>
    <t>Programa de Envejecimiento Activo"Rengo Activo"</t>
  </si>
  <si>
    <t>Desarrollar un programa integral de envejecimiento activo destinado a los 8.796 adultos mayores de Rengo, con talleres semanales de actividad fisica funcional, estimulación cognitiva, participación social, voluntariado senior y acceso a cultura y recreación en las sedes de las 330 organizaciones comunitarias.</t>
  </si>
  <si>
    <t>El envejecimiento activo previene deterioro: con 8.796 adultos mayores y IE de 72,1 (aumento de 34% desde 2017), la demanda de programas aumenta. La evaluación funcional muestra 42,8% con riesgo/dependencia, y el PSCV controla 10.528 pacientes crónicos. La encuesta ciudadana (n=119) prioriza salud con 46% de menciones. La población 60+ totaliza 12.523 personas (19,7%), con índice de envejecimiento de 84,5%. El crecimiento de 30,6% en población 65+ entre 2017-2024 proyecta que para 2035 los adultos mayores superarán el 20% de la población comunal (Censo INE 2024).</t>
  </si>
  <si>
    <t>Adultos mayores participantes; Talleres realizados mensualmente; Evaluación funcional de participantes</t>
  </si>
  <si>
    <t>Actividades dispersas sin programa integral de envejecimiento activo</t>
  </si>
  <si>
    <t>Programa en 5 sectores + 500 adultos mayores participantes regulares</t>
  </si>
  <si>
    <t>Cobertura comunal + centros de envejecimiento activo + 1,500 participantes</t>
  </si>
  <si>
    <t>Oficina Adulto Mayor + Depto. Deportes + Depto. Salud</t>
  </si>
  <si>
    <t>Municipal + SENAMA + IND + FNDR</t>
  </si>
  <si>
    <t>Programa de Nutrición Adultos Mayores"Nutriendo a Nuestros Mayores"</t>
  </si>
  <si>
    <t>Fortalecer la nutrición de los adultos mayores de Rengo mediante evaluación nutricional individualizada en CESFAM, entrega de complementos alimentarios, talleres de alimentación saludable en sedes vecinales y creación de huertos comunitarios senior en localidades urbanas y rurales de la comuna.</t>
  </si>
  <si>
    <t>La malnutrición aumenta morbilidad en adultos mayores: con 8.796 personas 65+ y 5,4% de pobreza comunal (13,6% multidimensional), el riesgo nutricional es alto. La evaluación funcional muestra 42,8% con riesgo/dependencia y la vulnerabilidad FONASA A+B alcanza 62,5%. El programa PACAM requiere cobertura integral. Las 88 personas en situación de calle registradas también requieren atención nutricional. La vulnerabilidad FONASA A+B del 62,5% (39.503 personas) implica que la mayoría requiere atención gratuita o con mínimo copago (FONASA 2024). La población 60+ alcanza 12.523 personas (19,7% del total) con índice de envejecimiento de 84,5%, generando demanda creciente de programas nutricionales especializados. (Fuente: DEIS 2024; Censo INE 2024; Etnografía Social 2025)</t>
  </si>
  <si>
    <t>Adultos mayores con evaluación nutricional; Complementos alimentarios entregados; Talleres de alimentación saludable realizados</t>
  </si>
  <si>
    <t>Programa alimentario complementario (PACAM) con cobertura parcial</t>
  </si>
  <si>
    <t>100% cobertura PACAM + evaluación nutricional integral + talleres mensuales</t>
  </si>
  <si>
    <t>Programa nutricional integral + huertos senior + seguimiento personalizado</t>
  </si>
  <si>
    <t>Municipal + MINSAL + JUNAEB + INTA</t>
  </si>
  <si>
    <t>ODS 2, 3, 10</t>
  </si>
  <si>
    <t>Programas Deportivos Comunitarios"Rengo Activo y Saludable"</t>
  </si>
  <si>
    <t>Activar programas deportivos y de actividad física comunitaria en plazas, parques y los recintos deportivos de Rengo, con enfasis en adultos mayores, personas con discapacidad y familias de sectores vulnerables, contribuyendo a elevar los 1.96 m2/hab de áreas verdes como espacios de vida activa.</t>
  </si>
  <si>
    <t>Con solo 1,96 m2/hab de áreas verdes (OMS: 9-10 m2/hab) y 60% de césped amarillento por déficit de riego, Rengo necesita maximizar espacios existentes. Los 8.796 adultos mayores y 7.256 PcD (12,1%) requieren programas accesibles. La encuesta ciudadana (n=119) prioriza deporte con 41% de menciones. La población 60+ totaliza 12.523 personas (19,7%), con índice de envejecimiento de 84,5%. El crecimiento de 30,6% en población 65+ entre 2017-2024 proyecta que para 2035 los adultos mayores superarán el 20% de la población comunal (Censo INE 2024).</t>
  </si>
  <si>
    <t>Número de programas deportivos comunitarios; Participantes regulares; Cobertura territorial de actividades</t>
  </si>
  <si>
    <t>Programas deportivos centralizados con cobertura limitada</t>
  </si>
  <si>
    <t>Programas en 80% sectores + talleres para adultos mayores y PcD</t>
  </si>
  <si>
    <t>Cobertura 100% territorial + infraestructura deportiva mejorada + ligas comunales</t>
  </si>
  <si>
    <t>Municipal + IND + MINDEP + FNDR</t>
  </si>
  <si>
    <t>Red de Cuidados para Adultos Mayores con Dependencia"Rengo Cuida"</t>
  </si>
  <si>
    <t>Crear red comunal de cuidados para adultos mayores con dependencia, articulando servicios domiciliarios, respiro para cuidadores, ayudas técnicas y coordinación con red de salud formal.</t>
  </si>
  <si>
    <t>El envejecimiento poblacional genera creciente demanda: el IE pasó de 53,8 (2017) a 72,1 (2024), un aumento de 34%. Con 8.796 adultos mayores y 170 personas con dependencia grave/total, Rengo necesita sistema integral de cuidados. Los AVPP aumentaron 46,3% entre 2018-2022, con incremento de 67,7% en mujeres. La población 60+ totaliza 12.523 personas (19,7%), con 8.796 mayores de 65+ (Y=72,1, aumento de 34% desde 2017). La evaluación funcional muestra 42,8% con riesgo/dependencia y 170 con dependencia grave/total. Los AVPP aumentaron 46,3% entre 2018-2022 (DEIS 2024; Censo INE 2024).</t>
  </si>
  <si>
    <t>Adultos mayores dependientes en red de cuidados; Servicios de respiro otorgados; Ayudas técnicas entregadas</t>
  </si>
  <si>
    <t>Cuidados fragmentados sin red articulada</t>
  </si>
  <si>
    <t>Red operativa en 5 sectores + 200 familias apoyadas</t>
  </si>
  <si>
    <t>Red comunal completa + centro de cuidados + 500 familias en programa</t>
  </si>
  <si>
    <t>Oficina Adulto Mayor + Depto. Salud + DIDECO</t>
  </si>
  <si>
    <t>Municipal + SENAMA + MINSAL + MDSF</t>
  </si>
  <si>
    <t>Reforzar Modelo de Salud Familiar</t>
  </si>
  <si>
    <t>Fortalecer el Modelo de Salud Familiar en toda la red comunal, consolidando equipos de cabecera, visitas domiciliarias integrales y planes de salud familiar con enfoque biopsicosocial y territorial.</t>
  </si>
  <si>
    <t>Con 8.796 adultos mayores (IE=72,1) y 7.256 PcD (12,1%), Rengo requiere atención centrada en familia y comunidad. El PSCV registra 10.528 pacientes crónicos, con 6.518 mujeres (61,9%) y 4.010 hombres (38,1%). La evaluación funcional muestra 42,8% con riesgo/dependencia. La población 60+ alcanza 12.523 personas (19,7% del total), con índice de envejecimiento de 84,5% (por cada 100 menores de 18, hay 85,5 personas 60+), generando demanda creciente de atención centrada en familia y comunidad (Censo INE 2024).</t>
  </si>
  <si>
    <t>Porcentaje de familias con plan de salud familiar activo; Número de visitas domiciliarias integrales; Cobertura de equipos de cabecera</t>
  </si>
  <si>
    <t>60% familias inscritas con plan de salud familiar</t>
  </si>
  <si>
    <t>85% familias con plan activo + visitas domiciliarias programadas</t>
  </si>
  <si>
    <t>100% familias con plan integral + seguimiento continuo</t>
  </si>
  <si>
    <t>Municipal + MINSAL</t>
  </si>
  <si>
    <t>Rengo Previene: Exámenes y Vacunaciones en Ferias</t>
  </si>
  <si>
    <t>Realizar operativos de salud preventiva en ferias libres y espacios comunitarios de alta concurrencia, ofreciendo exámenes rápidos, vacunaciones, toma de presión y educación sanitaria.</t>
  </si>
  <si>
    <t>Las ferias libres son espacios de alta concurrencia en Rengo, con 5 feriantes entrevistados en diagnóstico (Feria La Piscina y Balmaceda). La red de salud atiende 63.240 beneficiarios y las prestaciones crecieron 176% (de 188.486 a 520.000 entre 2012-2023). Los operativos permiten captar población sin consulta regular. La red de salud realiza 91.606 consultas medicas APS (3a regional, promedio 43.894) y 520.000 prestaciones anuales (+176% desde 2012). Los ESPA alcanzan 4.535 (+152% sobre promedio regional), demostrando capacidad de atención que requiere consolidación (SINIM 2024).</t>
  </si>
  <si>
    <t>Número de operativos en ferias realizados; Personas atendidas por operativo; Tasa de detección de patologías</t>
  </si>
  <si>
    <t>Operativos esporádicos sin programación sistemática</t>
  </si>
  <si>
    <t>Operativos quincenales en principales ferias + registro digital</t>
  </si>
  <si>
    <t>Operativos semanales en toda la comuna + seguimiento de casos detectados</t>
  </si>
  <si>
    <t>Salud Mental Adultos Mayores"Rengo Te Escucha"</t>
  </si>
  <si>
    <t>Crear programa especializado de salud mental para adultos mayores, abordando depresión, ansiedad, duelo, soledad y deterioro cognitivo mediante atención psicológica, grupos terapéuticos y visitas domiciliarias.</t>
  </si>
  <si>
    <t>La soledad y depresión afectan a adultos mayores: con 8.796 personas 65+ y IE de 72,1, la demanda de salud mental geriátrica crece. Los AVPP aumentaron 46,3% (2018-2022) y la tasa de mortalidad comunal (7,8/1.000) supera promedios. El PSCV controla 10.528 pacientes crónicos, muchos con comorbilidad psiquiátrica. La red de salud realiza 91.606 consultas medicas APS (3a regional, promedio 43.894) y 520.000 prestaciones anuales (+176% desde 2012). Los ESPA alcanzan 4.535 (+152% sobre promedio regional), demostrando capacidad de atención que requiere consolidación (SINIM 2024).</t>
  </si>
  <si>
    <t>Adultos mayores en programa de salud mental; Consultas psicológicas realizadas; Tamizaje de depresión geriátrica aplicado</t>
  </si>
  <si>
    <t>Atención de salud mental geriátrica sin programa específico</t>
  </si>
  <si>
    <t>Programa operativo en CESFAM + 300 adultos mayores atendidos/año</t>
  </si>
  <si>
    <t>Cobertura comunal + equipo geriátrico-psiquiátrico + 800 atendidos/año</t>
  </si>
  <si>
    <t>Municipal + MINSAL + SENAMA</t>
  </si>
  <si>
    <t>Servicios de Atención Médica a Domicilio"Salud Cerca de Ti"</t>
  </si>
  <si>
    <t>Crear programa de atención médica domiciliaria para personas con dependencia severa, adultos mayores postrados y pacientes crónicos que no pueden trasladarse a centros de salud.</t>
  </si>
  <si>
    <t>Rengo tiene 8.796 adultos mayores 65+ (Y=72,1 vs 53,8 en 2017). La evaluación funcional de 2.287 adultos mayores muestra 42,8% con riesgo/dependencia y 170 con dependencia grave/total. La atención domiciliaria reduce hospitalizaciones y mejora calidad de vida para esta población creciente. La población 65+ creció de 6.735 (2017) a 8.796 (2024), un aumento de +2.061 personas (+30,6%), proyectando demanda creciente de atención domiciliaria (Censo INE 2024).</t>
  </si>
  <si>
    <t>Número de pacientes en programa domiciliario; Visitas domiciliarias mensuales; Reducción de hospitalizaciones evitables</t>
  </si>
  <si>
    <t>Programa domiciliario con cobertura limitada</t>
  </si>
  <si>
    <t>Cobertura 80% pacientes postrados + equipo multidisciplinario</t>
  </si>
  <si>
    <t>100% cobertura + telemonitoreo + coordinación con hospital</t>
  </si>
  <si>
    <t>Sistema Toma de Hora vía Celular y Web"Rengo Sin Espera"</t>
  </si>
  <si>
    <t>Desplegar un sistema digital de agendamiento de horas médicas vía aplicación móvil y plataforma web para los usuarios de la red de salud comunal de Rengo, eliminando filas presenciales en CESFAM y postas rurales, con confirmacion automatica, recordatorios y modulo de cancelacion para reducir el ausentismo.</t>
  </si>
  <si>
    <t>La transformación digital es prioritaria para una comuna de 65.786 hab.: la encuesta ciudadana (n=119) califica atención digital con 3,0/5 (umbral mínimo). El 67% de viviendas carece de conexión fija a internet, requiriendo estrategia de acceso progresivo. La encuesta funcionaria (n=116) prioriza modernizar procesos administrativos (62%). Las 14.191 conexiones internet fijas (5a de 33) y 91,4% de hogares con internet (Censo 2024) proveen base para agendamiento digital, aunque solo 11% usa tramites online frecuentemente (Encuesta ciudadana n=119).</t>
  </si>
  <si>
    <t>Porcentaje de horas agendadas digitalmente; Reducción de tiempos de espera; Satisfacción usuaria digital</t>
  </si>
  <si>
    <t>Agendamiento mayoritariamente presencial y telefónico</t>
  </si>
  <si>
    <t>60% horas agendadas vía digital + app móvil operativa</t>
  </si>
  <si>
    <t>90% agendamiento digital + integración con ficha clínica electrónica</t>
  </si>
  <si>
    <t>Depto. Salud Municipal + Informática</t>
  </si>
  <si>
    <t>Municipal + MINSAL + FNDR</t>
  </si>
  <si>
    <t>ODS 3, 9</t>
  </si>
  <si>
    <t>OE 1.5 Reducir consumo de alcohol y drogas mediante prevención y rehabilitación comunitaria</t>
  </si>
  <si>
    <t>Apoyo Psicológico en Escuelas</t>
  </si>
  <si>
    <t>Fortalecer la dotación de profesionales de salud mental en establecimientos educacionales, implementando programas de apoyo psicológico, detección temprana y derivación oportuna para estudiantes.</t>
  </si>
  <si>
    <t>La encuesta NNA (n=21) arroja 0% de evaluación positiva y 24% reporta violencia escolar recurrente. El PSCV registra 10.528 pacientes crónicos y los AVPP aumentaron 46,3% (2018-2022). La salud mental infanto-juvenil requiere intervención temprana en los 27 establecimientos municipales con 9.766 alumnos. La red de salud realiza 91.606 consultas medicas APS (3a regional, promedio 43.894) y 520.000 prestaciones anuales (+176% desde 2012). Los ESPA alcanzan 4.535 (+152% sobre promedio regional), demostrando capacidad de atención que requiere consolidación (SINIM 2024).</t>
  </si>
  <si>
    <t>Número de psicólogos en establecimientos; Estudiantes atendidos; Tasa de derivación oportuna a red de salud</t>
  </si>
  <si>
    <t>Cobertura parcial de apoyo psicológico escolar</t>
  </si>
  <si>
    <t>1 psicólogo por establecimiento municipal + protocolos de detección</t>
  </si>
  <si>
    <t>Equipo multidisciplinario por establecimiento + programa preventivo integral</t>
  </si>
  <si>
    <t>DAEM + Depto. Salud Municipal + OPD</t>
  </si>
  <si>
    <t>Municipal + MINEDUC + MINSAL</t>
  </si>
  <si>
    <t>Programa de Seguridad Digital para Niños y Adolescentes</t>
  </si>
  <si>
    <t>Ejecutar un programa de educación en seguridad digital para niños, niñas y adolescentes en los 32 establecimientos educacionales de la comuna, abordando ciberbullying, grooming, uso responsable de redes sociales y adicciones digitales, con talleres para apoderados y protocolos de intervención escolar.</t>
  </si>
  <si>
    <t>La encuesta NNA (n=21) reporta 24% de violencia escolar recurrente y 38% identifica consumo de alcohol/drogas como situación de inseguridad. Los delitos de drogas aumentaron 440% y los crímenes contra la vida 126%. La matrícula municipal de 9.766 alumnos en 27 establecimientos requiere protección digital. Los infractores menores en drogas suman 8 adolescentes 14-17 años, con total de 131 infractores (68 entre 18-29 años, 51,9%), demostrando necesidad de protección digital y prevención temprana (Carabineros 2024).</t>
  </si>
  <si>
    <t>Número de establecimientos con programa implementado; NNA capacitados; Casos de ciberbullying reportados y atendidos</t>
  </si>
  <si>
    <t>0 establecimientos con programa formal de seguridad digital</t>
  </si>
  <si>
    <t>80% establecimientos municipales con programa + capacitación docentes</t>
  </si>
  <si>
    <t>100% establecimientos + extensión a comunidad + protocolo de atención</t>
  </si>
  <si>
    <t>DAEM + Depto. Salud + OPD</t>
  </si>
  <si>
    <t>Municipal + SENDA + SUBTEL + MINEDUC</t>
  </si>
  <si>
    <t>Eje 2: Desarrollo Económico Comunal</t>
  </si>
  <si>
    <t>OE 2.1 Fortalecer el Ecosistema Productivo y de Emprendimiento Local</t>
  </si>
  <si>
    <t>Desarrollo Económico Comunal</t>
  </si>
  <si>
    <t>Alianza Público-Privada: Incubación Proyectos</t>
  </si>
  <si>
    <t>Crear un programa de incubación de proyectos productivos con alianzas público-privadas, ofreciendo mentoría, financiamiento semilla y conexión con mercados.</t>
  </si>
  <si>
    <t>Rengo requiere diversificar su base productiva: la contracción agrícola fue de 3.950 ha (-26% en 14 años) y los empleos agrícolas representan 48,7% del total con 13.234 trabajadores estacionales. Los ingresos propios municipales son solo 9%, pudiendo potenciarse con inversión privada entre las 4.829 empresas (1a en región). CORFO administra programas de incubación que necesitan nodos locales, y el ICD evolucionó de 0,10 a 0,88 demostrando capacidad de gestión municipal. Las licitaciones suman 1.000 procesos con $7.011M, evidenciando escala operativa para articulación público-privada conforme al ODS 17. La tasa de materialización PIB cayó de 49,4% a 30,7%, con 257 postulaciones (61,2% del total), evidenciando necesidad de mejor formulación de proyectos que las alianzas público-privadas pueden fortalecer (Análisis BIP 2025).</t>
  </si>
  <si>
    <t>Proyectos incubados; Participación público-privada; Impacto económico</t>
  </si>
  <si>
    <t>0 programas de incubación local</t>
  </si>
  <si>
    <t>1 programa; 10 proyectos incubados</t>
  </si>
  <si>
    <t>1 programa consolidado; 30 proyectos; 15 empresas operativas</t>
  </si>
  <si>
    <t>SECPLAN + OMIL</t>
  </si>
  <si>
    <t>CORFO + Municipal + PPP</t>
  </si>
  <si>
    <t>ODS 8, 9, 17</t>
  </si>
  <si>
    <t>Centro Estratégico de Negocios</t>
  </si>
  <si>
    <t>Crear un centro de servicios empresariales que ofrezca asesoría legal, contable, financiera y de innovación a emprendedores y empresas de Rengo.</t>
  </si>
  <si>
    <t>Las 4.829 empresas de Rengo (1a en la región) y 4.541 unidades productivas carecen de acceso a servicios empresariales profesionales integrados. El ranking SUBDERE ubicó a Rengo en puesto 11 de 33, cayendo de 80% a 58,4% de logro, reflejando oportunidades de mejora en gestión económica local. La tasa de adjudicación de licitaciones bajó de 84,8% (2010-2017) a 71,6% (2018-2025), con 17,1% sin ofertas. El IDHC evolucionó de 0,51 a 0,74, pero la dimensión económica requiere servicios profesionales que dinamicen las 330 organizaciones comunitarias conforme al ODS 9. La densidad empresarial de 74,5 por 1.000 hab. (1a regional) y la estructura con 953 unidades en manufactura (1a regional, +256% sobre promedio), 834 en comercio (1a, +337%) y 714 en construcción (1a, +303%) evidencian ecosistema diversificado que requiere apoyo (SINIM 2024).</t>
  </si>
  <si>
    <t>Empresas atendidas; Mejora en competitividad; Satisfacción de usuarios</t>
  </si>
  <si>
    <t>0 centros de negocios municipales</t>
  </si>
  <si>
    <t>1 centro operativo; 100 empresas atendidas</t>
  </si>
  <si>
    <t>1 centro consolidado; 300 empresas/año; 80% satisfacción</t>
  </si>
  <si>
    <t>Municipal + CORFO + SERCOTEC + GORE</t>
  </si>
  <si>
    <t>Creación Centro Emprende Más</t>
  </si>
  <si>
    <t>Crear un centro de emprendimiento e innovación que ofrezca incubación, aceleración, mentoría y acceso a redes para startups y emprendedores de Rengo.</t>
  </si>
  <si>
    <t>Solo 39% de la población accede a educación superior (brecha estructural) y Rengo carece de ecosistema de innovación pese a sus 4.829 empresas (1a en región). El BIP registra sólo 5 proyectos de turismo/comercio (0,4%) con inversión prácticamente nula sobre $1.101 MM de inversión total. CORFO y Start-Up Chile ofrecen recursos que necesitan articulación local, y la sede UOH en Rengo puede generar sinergias. El ICD evolucionó de 0,10 a 0,88 demostrando capacidad de gestión municipal para atraer y articular emprendimiento conforme al ODS 9. La tasa de desocupación de 9,04% (Censo 2024, superior al promedio regional) y el empleo estacional del 57% demandan un centro de emprendimiento que genere empleo permanente, complementando las 500+ colocaciones anuales de la OMIL.</t>
  </si>
  <si>
    <t>Emprendedores atendidos; Negocios creados; Satisfacción de usuarios</t>
  </si>
  <si>
    <t>0 centros de emprendimiento</t>
  </si>
  <si>
    <t>1 centro operativo; 50 emprendedores; 10 negocios</t>
  </si>
  <si>
    <t>1 centro consolidado; 150 emprendedores/año; 30 negocios creados</t>
  </si>
  <si>
    <t>CORFO + Municipal + GORE</t>
  </si>
  <si>
    <t>ODS 4, 8, 9</t>
  </si>
  <si>
    <t>Desarrollo Espacios de Comercio para Emprendedores</t>
  </si>
  <si>
    <t>Crear espacios de comercio tipo vega/abastecimiento para emprendedores locales, con infraestructura adecuada, servicios básicos y gestión asociativa.</t>
  </si>
  <si>
    <t>Los emprendedores locales carecen de espacios formales de comercialización, pese a las 4.829 empresas registradas (1a en región) y 4.541 unidades productivas. El Río Claro representa un eje territorial con potencial turístico-comercial asociado a 736 ha de viñas y 11.078 ha de superficie agrícola bajo riego. Las 330 organizaciones comunitarias demandan espacios productivos según la etnografía social con más de 50 entrevistas. La pobreza de 5,4% y multidimensional de 13,6% requieren canales de comercialización directa conforme a la Ley 18.695 art. 4 letra f y el ODS 8. La estructura empresarial muestra 953 unidades en manufactura (1a regional, +256%), 834 en comercio (1a, +337%) y 714 en construcción (1a, +303%). Los 12.453 trabajadores en microempresas (78,3%) evidencian predominio de empleo en pequeña escala (SINIM 2024).</t>
  </si>
  <si>
    <t>Espacios comerciales habilitados; Empresarios beneficiados; Impacto en ventas</t>
  </si>
  <si>
    <t>0 espacios comerciales municipales para emprendedores</t>
  </si>
  <si>
    <t>1 espacio; 30 emprendedores</t>
  </si>
  <si>
    <t>3 espacios; 80 emprendedores; $150M ventas anuales</t>
  </si>
  <si>
    <t>SECPLAN + DIDECO</t>
  </si>
  <si>
    <t>FNDR + Municipal + SERCOTEC</t>
  </si>
  <si>
    <t>ODS 8, 11, 1</t>
  </si>
  <si>
    <t>Edificio de Fomento Productivo: Cowork y Capacitación</t>
  </si>
  <si>
    <t>Estudiar la construir un edificio de fomento productivo con espacios de coworking, salas de capacitación, laboratorio de prototipado y oficinas de atención a emprendedores.</t>
  </si>
  <si>
    <t>Solo 39% de la población accede a educación superior y la escolaridad promedio es 11,1 años (vs 12,1 nacional), limitando la innovación en una comuna con 4.829 empresas. La tasa de asistencia a educación superior es 39,0%, una brecha estructural que la sede UOH en Rengo puede ayudar a cerrar. El BIP registra sólo 5 proyectos de turismo/comercio (0,4%) con inversión prácticamente nula, evidenciando déficit de fomento productivo. El IDHC educativo creció de 0,55 a 0,72 pero requiere infraestructura de innovación conforme al ODS 9 y la Ley 18.695 art. 4 letra f. El retiro en educación media bajó a 1,51% (reduccion 69% desde 4,89% en 2009), evidenciando mejora en retención. La cobertura municipal recuperó de 64,32% (2011) a 75,41% (2024), mientras la matrícula total comunal creció 5,9% (de 12.752 a 13.510; SINIM 2024).</t>
  </si>
  <si>
    <t>Progreso de construcción (%); Emprendedores usuarios; Startups creadas</t>
  </si>
  <si>
    <t>0 espacios de coworking municipal</t>
  </si>
  <si>
    <t>100% operativo; 200 emprendedores/año; 20 startups creadas</t>
  </si>
  <si>
    <t>FNDR + CORFO + GORE + Municipal</t>
  </si>
  <si>
    <t>ODS 8, 9, 4</t>
  </si>
  <si>
    <t>Feria Permanente de Productores Locales</t>
  </si>
  <si>
    <t>Establecer una feria semanal permanente de productores locales con productos agrícolas, artesanales y gastronómicos, fortaleciendo la cadena de valor local.</t>
  </si>
  <si>
    <t>Los productores agrícolas de Rengo cultivan 11.078 ha bajo riego, pero venden a intermediarios con bajos márgenes en un contexto de 4.541 unidades productivas. La contracción agrícola de 3.950 ha (-26% en 14 años) exige canales directos de comercialización para sostener empleo estacional del 57%. INDAP y SERCOTEC apoya ferias como instrumento de desarrollo para las comunidades con 5,4% de pobreza y 13,6% multidimensional. La demanda hídrica de 220,8 hm3/año (95,3% riego) evidencia la centralidad agrícola que requiere articulación comercial conforme al ODS 2. El 35,3% de hogares usan leña como combustible principal de calefacción (Censo 2024), evidenciando prácticas rurales que las ferias pueden capitalizar en productos de biomasa y economía circular.</t>
  </si>
  <si>
    <t>Ferias semanales realizadas; Ventas totales de productores; Participación de productores</t>
  </si>
  <si>
    <t>Ferias esporádicas sin periodicidad</t>
  </si>
  <si>
    <t>48 ferias/año; 40 productores; $80M ventas</t>
  </si>
  <si>
    <t>48 ferias/año; 80 productores; $200M ventas; marca local</t>
  </si>
  <si>
    <t>DIDECO + OMIL</t>
  </si>
  <si>
    <t>Municipal + INDAP + SERCOTEC</t>
  </si>
  <si>
    <t>ODS 1, 2, 8</t>
  </si>
  <si>
    <t>Fomento a la Inversión</t>
  </si>
  <si>
    <t>Diseñar e implementar incentivos fiscales y administrativos para atraer inversiones productivas a Rengo, incluyendo reducción de patentes, ventanilla única y zonificación preferente.</t>
  </si>
  <si>
    <t>El PRC lleva más de 16 años sin actualizar, generando incertidumbre para inversionistas entre las 4.829 empresas comunales y 4.541 unidades productivas. Los ingresos propios representan sólo 9% del presupuesto municipal, mientras la dependencia de transferencias alcanza 75,2% con gasto corriente de 84,57%. La tasa de adjudicación de licitaciones cayó a 71,6% (2018-2025) y 23,7% quedan sin ofertas (237 procesos). El IIGAM de 0,57 (15° regional) con probidad al 75% y acceso a información al 58% evidencian espacio para mejorar el clima de inversión conforme al ODS 8. La estructura empresarial muestra 953 unidades en manufactura (1a regional, +256%), 834 en comercio (1a, +337%) y 714 en construcción (1a, +303%). Los 12.453 trabajadores en microempresas (78,3%) evidencian predominio de empleo en pequeña escala (SINIM 2024).</t>
  </si>
  <si>
    <t>Incentivos implementados; Monto de inversión atraída; Empleos generados</t>
  </si>
  <si>
    <t>Sin política de incentivos a la inversión</t>
  </si>
  <si>
    <t>Marco de incentivos aprobado; $300M inversión nueva</t>
  </si>
  <si>
    <t>Política consolidada; $2.000M inversión acumulada; 200 empleos</t>
  </si>
  <si>
    <t>Alcaldía + SECPLAN + DAF</t>
  </si>
  <si>
    <t>Municipal + CORFO + GORE</t>
  </si>
  <si>
    <t>Formalización y Regulación de Ferias Locales</t>
  </si>
  <si>
    <t>Formalizar y regular las ferias libres y temáticas de Rengo, mejorando condiciones sanitarias, tributarias y de infraestructura para comerciantes y consumidores.</t>
  </si>
  <si>
    <t>Las ferias libres operan con informalidad parcial en una comuna con 1.000 procesos de licitación y $7.011M en compras públicas, incluyendo las ferias La Piscina y Balmaceda. La base tributaria municipal requiere ampliación: los ingresos propios representan sólo 9% del total con autonomía financiera de 92,8%. El diagnóstico normativo identifica 50,9% de decretos como modificaciones (parcheo normativo) y 63,6% con más de 20 años de vigencia. La Ley 18.695 art. 4 letra e sobre regulación comercial y el ODS 8 fundamentan la formalización como estrategia de desarrollo. El 35,3% de hogares usan leña como combustible principal de calefacción (Censo 2024), evidenciando prácticas rurales que las ferias pueden capitalizar en productos de biomasa y economía circular.</t>
  </si>
  <si>
    <t>Ferias formalizadas; Recaudación por permisos; Satisfacción de feriantes y usuarios</t>
  </si>
  <si>
    <t>Ferias con regulación parcial</t>
  </si>
  <si>
    <t>100% ferias formalizadas; $20M recaudacion</t>
  </si>
  <si>
    <t>100% ferias reguladas; $50M recaudación; infraestructura mejorada</t>
  </si>
  <si>
    <t>DOM + DAF</t>
  </si>
  <si>
    <t>Fortaleciendo el Futuro: Apoyo Microempresarios</t>
  </si>
  <si>
    <t>Brindar apoyo integral a microempresarios con mentorías, capacitación en formalización, marketing digital y acceso a microcréditos, reduciendo la informalidad económica.</t>
  </si>
  <si>
    <t>La pobreza de 5,4% se concentra en hogares con empleo informal, con trabajadores estacionales representan 57% del empleo total entre 13.234 trabajadores agrícolas. Los ingresos propios municipales representan sólo 9% del total y la dependencia de transferencias alcanza 75,2%. El 67% de viviendas carece de conexión fija a internet, limitando comercio digital, mientras la escolaridad de 11,1 años (vs 12,1 nacional) restringe capacidades empresariales. SERCOTEC y FOSIS ofrecen programas de formalización articulables por la OMIL conforme a la Ley 18.695 art. 4 letra f y el ODS 1. El RSH indica que ~58% de hogares está bajo el 40% de vulnerabilidad, y el 44,9% de la población (26.309 hab.) se ubica en quintiles inferiores Q1+Q2 del BHT, coincidiendo con hogares de microempresarios informales (Diagnóstico MBHT 2025).</t>
  </si>
  <si>
    <t>Microempresarios apoyados; Incremento en ventas; Satisfacción de beneficiarios</t>
  </si>
  <si>
    <t>Sin programa de apoyo a microempresarios</t>
  </si>
  <si>
    <t>80 microempresarios; 20% aumento ventas</t>
  </si>
  <si>
    <t>200 microempresarios; 30% formalización; $100M en ventas adicionales</t>
  </si>
  <si>
    <t>OMIL + DIDECO</t>
  </si>
  <si>
    <t>Municipal + SERCOTEC + FOSIS</t>
  </si>
  <si>
    <t>ODS 1, 8, 10</t>
  </si>
  <si>
    <t>Rengo Destino de Oportunidades: Atracción de Inversiones</t>
  </si>
  <si>
    <t>Desarrollar una estrategia de atracción de inversiones que posicione a Rengo como destino competitivo, ofreciendo facilidades administrativas, información territorial y alianzas público-privadas.</t>
  </si>
  <si>
    <t>Rengo depende 75,2% de transferencias del Estado central y requiere diversificar su base económica entre sus 4.829 empresas y 4.541 unidades productivas. El PRC lleva más de 16 años sin actualizar, generando incertidumbre territorial para inversionistas en un territorio de 592 km2. El ICD comunal evolucionó de 0,10 (2012) a 0,88 (2023), mostrando capacidad de gestión, y el IDHC creció de 0,51 a 0,74. Las licitaciones municipales suman 1.000 procesos con $7.011M totales, pero 23,7% quedan sin ofertas, evidenciando necesidad de mejorar el ecosistema de inversión conforme al ODS 9. El patrimonio municipal paso de -$1.460M (2012) a +$9.400M (2023), y la inversión SECPLA creció de $2.000M a $20.000M (+900%), demostrando capacidad de gestión que atrae inversión (SINIM 2024).</t>
  </si>
  <si>
    <t>Inversiones atraídas; Monto total invertido; Empleos generados; Diversificación productiva</t>
  </si>
  <si>
    <t>Sin estrategia de atracción de inversiones</t>
  </si>
  <si>
    <t>3 inversiones nuevas; $500M monto; 50 empleos</t>
  </si>
  <si>
    <t>10 inversiones; $3.000M monto; 300 empleos directos</t>
  </si>
  <si>
    <t>SECPLAN + Alcaldía</t>
  </si>
  <si>
    <t>Municipal + CORFO + GORE + PPP</t>
  </si>
  <si>
    <t>Rengo Impulsa tu Negocio: Fortalecimiento PYMEs</t>
  </si>
  <si>
    <t>Apoyar a PYMEs de Rengo con asistencia técnica, capacitación en gestión, acceso a financiamiento y vinculación con mercados, fortaleciendo el tejido productivo local.</t>
  </si>
  <si>
    <t>La pobreza comunal es 5,4% (CASEN 2022) con pobreza multidimensional de 13,6% (8.600 personas), en una comuna con 4.829 empresas (1a en la región) y 4.541 unidades productivas. La OMIL realiza más de 500 colocaciones/año evidenciando brecha de capacitación, mientras el 57% del empleo es estacional en agricultura con 13.234 trabajadores. CORFO y SERCOTEC ofrecen instrumentos que Rengo subutiliza según el diagnóstico institucional; la caída de 3.950 ha agrícolas (-26%) exige reconversión productiva. La Ley 18.695 art. 4 letra f faculta fomento productivo municipal conforme al ODS 8. La densidad empresarial de 74,5 por 1.000 hab. (1a regional) y la estructura con 953 unidades en manufactura (1a regional, +256% sobre promedio), 834 en comercio (1a, +337%) y 714 en construcción (1a, +303%) evidencian ecosistema diversificado que requiere apoyo (SINIM 2024).</t>
  </si>
  <si>
    <t>PYMEs apoyadas; Crecimiento en ventas de PYMEs; Satisfacción de empresarios</t>
  </si>
  <si>
    <t>Sin programa municipal de apoyo PYME</t>
  </si>
  <si>
    <t>50 PYMEs apoyadas; 15% crecimiento promedio</t>
  </si>
  <si>
    <t>150 PYMEs apoyadas; 25% crecimiento; red empresarial activa</t>
  </si>
  <si>
    <t>OMIL + SECPLAN</t>
  </si>
  <si>
    <t>Municipal + SERCOTEC + CORFO + GORE</t>
  </si>
  <si>
    <t>ODS 8, 9, 1</t>
  </si>
  <si>
    <t>OE 2.2 Mejorar la Empleabilidad y la Capacitación Laboral</t>
  </si>
  <si>
    <t>Capacitación en Oficios para Reinserción Laboral</t>
  </si>
  <si>
    <t>Desarrollar programas de capacitación en oficios de alta demanda local (electricidad, gasfiteria, soldadura, mecanica, repostería) para personas desempleadas y en situación de vulnerabilidad de Rengo, articulados con SENCE y el sector productivo de las 4.829 empresas comunales para facilitar la reinserción laboral efectiva.</t>
  </si>
  <si>
    <t>La escolaridad promedio de 11,1 años limita opciones laborales, y 57% del empleo es estacional con 13.234 trabajadores agrícolas. La pobreza multidimensional de 13,6% (8.600 personas) requiere estrategias de reinserción laboral efectivas, agravada por la vulnerabilidad FONASA A+B del 62,5%. SENCE y FOSIS ofrecen programas que la OMIL puede articular para las más de 500 colocaciones anuales. La caída de 3.950 ha agrícolas (-26%) genera presión sobre el empleo estacional, requiriendo diversificación de oficios conforme al ODS 4 y la Ley 18.695 art. 4 letra f. El retiro en educación media bajó a 1,51% (reduccion 69% desde 4,89% en 2009), evidenciando mejora en retención. La cobertura municipal recuperó de 64,32% (2011) a 75,41% (2024), mientras la matrícula total comunal creció 5,9% (de 12.752 a 13.510; SINIM 2024).</t>
  </si>
  <si>
    <t>Personas capacitadas; Tasa de reinserción laboral; Oficios impartidos</t>
  </si>
  <si>
    <t>50 personas capacitadas/año vía OMIL</t>
  </si>
  <si>
    <t>150 personas/año; 55% reinserción; 8 oficios</t>
  </si>
  <si>
    <t>300 personas/año; 65% reinserción; 15 oficios</t>
  </si>
  <si>
    <t>OMIL</t>
  </si>
  <si>
    <t>SENCE + FOSIS + Municipal</t>
  </si>
  <si>
    <t>ODS 1, 4, 8</t>
  </si>
  <si>
    <t>Empoderamiento: Fortalecimiento Jefas de Hogar</t>
  </si>
  <si>
    <t>Apoyar a jefas de hogar con programas de emprendimiento, capacitación laboral, cuidado infantil y redes de apoyo para su inserción económica efectiva.</t>
  </si>
  <si>
    <t>La VIF registra 608 casos anuales con 78% contra mujeres, evidenciando alta vulnerabilidad femenina en una comuna donde las mujeres representan 51,4% de la población (32.695). La pobreza de 5,4% afecta desproporcionadamente a hogares monoparentales femeninos, con brecha de empleo de género de 0,09 y brecha de liderazgo de 0,08. La cobertura preescolar de solo 50,9% limita la inserción laboral femenina al no garantizar cuidado infantil conforme a la Ley 20.710. La encuesta funcionaria (n=116) reporta 3% de acoso sexual, evidenciando desafíos de género también a nivel institucional. La natalidad cayo 40,7% (de 17,36 a 10,30 por mil entre 2001-2024), pero la cobertura preescolar de solo 50,9% sigue siendo barrera para insercion laboral femenina. Los AVPP en mujeres aumentaron 67,7%, evidenciando impacto de sobrecarga de roles (DEIS 2024).</t>
  </si>
  <si>
    <t>Mujeres beneficiarias; Participación económica activa; Satisfacción de beneficiarias</t>
  </si>
  <si>
    <t>Programa Jefas de Hogar SERNAM con cobertura limitada</t>
  </si>
  <si>
    <t>100 mujeres/año; 50% inserción laboral</t>
  </si>
  <si>
    <t>250 mujeres/año; 65% inserción laboral; red de apoyo operativa</t>
  </si>
  <si>
    <t>Municipal + SERNAM + PRODEMU + SENCE</t>
  </si>
  <si>
    <t>ODS 1, 5, 8</t>
  </si>
  <si>
    <t>Fuerza Laboral Tengo: Formación SENCE</t>
  </si>
  <si>
    <t>Articular con SENCE una oferta de capacitación laboral en oficios demandados por el mercado local y regional de Rengo, priorizando sectores agroindustrial, servicios y comercio donde se concentra el 57% de empleo estacional, con certificación de competencias y vinculación directa con empleadores de la comuna.</t>
  </si>
  <si>
    <t>La escolaridad promedio de 11,1 años y la pobreza multidimensional de 13,6% (8.600 personas) evidencian brechas de capital humano en una comuna de 65.786 habitantes. La OMIL realiza más de 500 colocaciones/año pero 57% del empleo es estacional en agricultura con 13.234 trabajadores. La caída de 3.950 ha agrícolas (-26% en 14 años) genera presión sobre el empleo estacional, agravando la dependencia del FCM que representa el 55,8% de los ingresos municipales. La Ley 18.695 art. 4 letra f y el ODS 4 fundamentan capacitación laboral como herramienta de desarrollo. La escolaridad por género muestra hombres: 11,0 años y mujeres: 11,2 anos, con población inmigrante en 11,8 años. La educación básica alcanza 95,4% de asistencia (logró consolidado) pero la media solo 88,4% (Censo INE 2024).</t>
  </si>
  <si>
    <t>Personas capacitadas; Tasa de empleo post-capacitación; Cursos realizados</t>
  </si>
  <si>
    <t>120 capacitados/año vía OMIL</t>
  </si>
  <si>
    <t>300 capacitados/año; 60% empleo post</t>
  </si>
  <si>
    <t>600 capacitados/año; 70% empleo post; 30 oficios ofrecidos</t>
  </si>
  <si>
    <t>SENCE + Municipal + GORE</t>
  </si>
  <si>
    <t>ODS 4, 8, 10</t>
  </si>
  <si>
    <t>Programa Capacitación Comerciantes Locales</t>
  </si>
  <si>
    <t>Capacitar a comerciantes del centro de Rengo y Rosario en marketing digital, gestión financiera, atención al cliente y comercio electrónico.</t>
  </si>
  <si>
    <t>Los comerciantes locales enfrentan competencia sin herramientas de gestión moderna, en una comuna con 4.829 empresas pero escolaridad de 11,1 años que limita adopción tecnológica. La encuesta ciudadana (n=119) califica calles y tránsito con 2,82/5, el puntaje más bajo, afectando la experiencia comercial. El 67% de viviendas carece de conexión fija a internet, dificultando el comercio digital en un contexto donde la Ley 21.180 de transformación digital aplica al Estado. Las 4.541 unidades productivas requieren actualización digital conforme al ODS 9 y la ERD O"Higgins 2024-2036. Las 14.191 conexiones de internet fijas y 91,4% de hogares con internet (Censo 2024) proveen base para comercio digital, aunque la encuesta ciudadana califica la atención digital con solo 3,0/5, umbral mínimo de aceptabilidad.</t>
  </si>
  <si>
    <t>Comerciantes capacitados; Incremento en ventas post-capacitación; Satisfacción</t>
  </si>
  <si>
    <t>0 programas de capacitación para comerciantes</t>
  </si>
  <si>
    <t>100 comerciantes; 15% aumento ventas</t>
  </si>
  <si>
    <t>300 comerciantes; 25% aumento ventas; 50% con venta online</t>
  </si>
  <si>
    <t>SERCOTEC + SENCE + Municipal</t>
  </si>
  <si>
    <t>OE 2.3 Polos emprendimiento</t>
  </si>
  <si>
    <t>Desarrollo Económico</t>
  </si>
  <si>
    <t>Crear Polos Gastronómico y Comercial en Sector El Rodeo</t>
  </si>
  <si>
    <t>Diseñar y construir un polo gastronómico y comercial en el sector El Rodeo de Rengo, habilitando infraestructura para restaurantes, locales de productos típicos y espacios de encuentro que potencien la identidad culinaria de la Cuenca del Río Claro y diversifiquen la economía local más allá del empleo estacional.</t>
  </si>
  <si>
    <t>Según Diagnóstico PLADECO 2025, Rengo (65.786 hab) posee 4.829 empresas (1a en la región), pobreza multidimensional 5,4%, IPP 34,6%, empleo estacional 57%, y 3.950 ha agrícolas pérdidas desde 2007. El IDHC creció de 0,51 a 0,74 y el ICD de 0,10 a 0,88, evidenciando potencial de desarrollo económico local. Con 4.829 empresas y potencial turístico-gastronómico, la creación de polos comerciales fortalece la economía local.</t>
  </si>
  <si>
    <t>Polos comerciales creados; Emprendimientos formalizados; Ingresos generados por polo</t>
  </si>
  <si>
    <t>Por establecer</t>
  </si>
  <si>
    <t>Avance 50%</t>
  </si>
  <si>
    <t>100% implementado</t>
  </si>
  <si>
    <t>Dir. Des. Económico + Jurídica</t>
  </si>
  <si>
    <t>R12: Ordenanza de Desarrollo Económico Local</t>
  </si>
  <si>
    <t>Regular fomento productivo, emprendimiento, mercados campesinos, turismo vitivinícola y economía local.</t>
  </si>
  <si>
    <t>4.829 empresas (1 regional) sin marco normativo fomento. Brecha 58x promedio o mediana recaudación patentes. Tengo 17 patentes pero 54,7% recaudacion. Solo 4 decretos (7,3%) en comercio y economía del corpus normativo.</t>
  </si>
  <si>
    <t>Ordenanza aprobada</t>
  </si>
  <si>
    <t>Sin ordenanza desarrollo económico</t>
  </si>
  <si>
    <t>Ordenanza + reglamento ferias</t>
  </si>
  <si>
    <t>Evaluación impacto</t>
  </si>
  <si>
    <t>Municipal + CORFO</t>
  </si>
  <si>
    <t>ODS 8, 9</t>
  </si>
  <si>
    <t>OE 2.3 Promover la Economía Solidaria y Colaborativa</t>
  </si>
  <si>
    <t>Programa Sinergia Renguina</t>
  </si>
  <si>
    <t>Crear un programa de intercambio de servicios vecinales y economía colaborativa que fortalezca la cohesión social y optimice recursos comunitarios.</t>
  </si>
  <si>
    <t>Las 330 organizaciones comunitarias poseen capacidades diversas sin articulación formal, en una comuna con 65.786 habitantes y crecimiento de +20,6% desde 2001. Los 3.217 migrantes (5,06%, con 37% venezolanos y 25% bolivianos) requieren mecanismos de integración económica, junto a 3.813 personas de pueblos originarios (5,99%). La encuesta ciudadana (n=119) muestra disposición a participar: 49% afirmativa y 43% condicional, con percepción de identidad débil en 66%. La Ley 20.500 sobre participación ciudadana y el ODS 10 fundamentan la economía colaborativa como estrategia de inclusión social. El vínculo comunitario muestra que 39% de ciudadanía comparte con vecinos (vs 48% de NNA que no lo hace), y 57% pertenece a alguna agrupación, base social para economía colaborativa (Encuesta ciudadana n=119).</t>
  </si>
  <si>
    <t>Intercambios de servicios registrados; Participación vecinal; Índice de cohesión social</t>
  </si>
  <si>
    <t>0 programas de economía colaborativa</t>
  </si>
  <si>
    <t>1 programa piloto; 200 familias; 500 intercambios</t>
  </si>
  <si>
    <t>1 programa consolidado; 800 familias; 3.000 intercambios/año</t>
  </si>
  <si>
    <t>DIDECO</t>
  </si>
  <si>
    <t>Municipal + FOSIS</t>
  </si>
  <si>
    <t>ODS 1, 10, 11</t>
  </si>
  <si>
    <t>Eje 3: Educacion y Capacitacion para el Desarrollo Humano</t>
  </si>
  <si>
    <t>OE 3.1 Mejorar la Calidad y Convivencia en los Establecimientos Educacionales</t>
  </si>
  <si>
    <t>Educación y Capacitación</t>
  </si>
  <si>
    <t>Mejora Integral Trabajo Psicosocial</t>
  </si>
  <si>
    <t>Coordinar el trabajo psicosocial del DAEM con redes de infancia, salud y protección social para atención integral de estudiantes y familias vulnerables.</t>
  </si>
  <si>
    <t>Los 608 casos de VIF (78% contra mujeres) impactan directamente en rendimiento y bienestar de NNA escolarizados en los 27 establecimientos municipales (84,4% del total). La pobreza multidimensional de 13,6% se concentra en familias con niños, con 12.203 menores de 14 años y vulnerabilidad FONASA A+B del 62,5%. La red de salud atiende 63.240 beneficiarios inscritos con 520.000 prestaciones anuales, requiriendo coordinación intersectorial. Los AVPP aumentaron 46,3% (2018-2022), evidenciando necesidad de intervención temprana conforme al ODS 3 y la Ley 21.430 sobre garantías de la niñez. Pese a la caída de natalidad de 40,7% (de 17,36 a 10,30 por mil entre 2001-2024), la demanda psicosocial crece por complejidad: 81 casos de drogas (+440%), 608 de VIF (78% mujeres) y 85 adultos mayores víctimas (+554%) impactan entornos familiares escolares (DEIS 2024; Carabineros 2024).</t>
  </si>
  <si>
    <t>Atenciones integrales realizadas; Bienestar de familias atendidas; Derivaciones efectivas</t>
  </si>
  <si>
    <t>Coordinación parcial DAEM-redes</t>
  </si>
  <si>
    <t>Protocolo intersectorial operativo; 500 familias atendidas</t>
  </si>
  <si>
    <t>1.000 familias/año; red integrada; 90% derivaciones efectivas</t>
  </si>
  <si>
    <t>DAEM + Depto. Salud + DIDECO</t>
  </si>
  <si>
    <t>Municipal + SENAME + Mejor Niñez + MINEDUC</t>
  </si>
  <si>
    <t>ODS 1, 3, 4</t>
  </si>
  <si>
    <t>Mejora Profesionales Psicosociales</t>
  </si>
  <si>
    <t>Fortalecer los equipos psicosociales de establecimientos educacionales municipales con más profesionales (psicólogos, trabajadores sociales, fonoaudiólogos) y mejores condiciones laborales.</t>
  </si>
  <si>
    <t>La VIF registra 608 casos (78% contra mujeres) y la violencia escolar recurrente afecta a 24% de NNA, generando demanda psicosocial que supera capacidad actual de los 27 establecimientos municipales. La natalidad cayó 40,7% pero los 9.766 alumnos existentes requieren atención integral, con logro PAES de 89,4% y brecha de 12,20 pp entre municipales y subvencionados. La vulnerabilidad FONASA A+B alcanza 62,5%, correlacionando pobreza familiar con riesgo psicosocial infantil. La Ley 20.710 establece educación como derecho social que exige dotación profesional adecuada conforme al ODS 4. El grupo etario más afectado en VIF es mujeres 30-44 años (175 casos, 28,7%). Los 22 niños &lt;14 y 14 adolescentes 14-17 afectados evidencian impacto intergeneracional. Segun MIPP, solo 18-28% de victimas denuncia, sugiriendo prevalencia real 3-5 veces mayor (Carabineros 2024; MIPP).</t>
  </si>
  <si>
    <t>Profesionales contratados; Atenciones psicosociales realizadas; Bienestar estudiantil</t>
  </si>
  <si>
    <t>Equipos psicosociales insuficientes en DAEM</t>
  </si>
  <si>
    <t>50% aumento dotación; 1.500 atenciones/año</t>
  </si>
  <si>
    <t>100% cobertura; 3.000 atenciones/año; protocolo unificado</t>
  </si>
  <si>
    <t>DAEM</t>
  </si>
  <si>
    <t>Municipal + SEP + PIE + MINEDUC</t>
  </si>
  <si>
    <t>Política Comunal de Convivencia Educativa "Mejor Comunidad"</t>
  </si>
  <si>
    <t>Diseñar e implementar una política comunal de convivencia educativa que prevenga el bullying, promueva el buen trato y genere ambientes escolares seguros e inclusivos.</t>
  </si>
  <si>
    <t>La encuesta NNA (n=21) reporta 24% de violencia escolar recurrente y 0% de evaluación positiva de la comuna, con 48% percibiendo inseguridad como problema principal. La tasa de asistencia media es 88,4% (11,6% deserción), vinculada a problemas de clima escolar en 27 establecimientos municipales con 9.766 alumnos. El DAEM registra más de 170 sumarios activos por convivencia laboral, reflejando cultura organizacional que impactan establecimientos. Los delitos de drogas aumentaron 440%, afectando entornos escolares conforme a la Ley 21.545 sobre convivencia y el ODS 16. Los 79 menores victimarios 14-17 anos (+464% desde 2005) y la violencia escolar recurrente del 24% de NNA refuerzan la urgencia de política de convivencia. Solo 57% de NNA se siente muy seguro en su barrio (Carabineros 2024; Diagnóstico NNA n=21).</t>
  </si>
  <si>
    <t>Incidentes de violencia escolar; Participación en programas de convivencia; Satisfacción de comunidad educativa</t>
  </si>
  <si>
    <t>23,75% NNA con experiencia de bullying</t>
  </si>
  <si>
    <t>Política aprobada; 15% reducción bullying</t>
  </si>
  <si>
    <t>8% bullying; 90% escuelas con programa activo; 85% satisfacción</t>
  </si>
  <si>
    <t>Municipal + MINEDUC + SENDA</t>
  </si>
  <si>
    <t>ODS 4, 16, 3</t>
  </si>
  <si>
    <t>Talleres "Campamentos Invierno/Verano" y After School</t>
  </si>
  <si>
    <t>Organizar talleres extracurriculares y campamentos durante vacaciones de invierno y verano, más programas After School en los 32 establecimientos educacionales de Rengo, ofreciendo actividades artísticas, deportivas, científicas y tecnológicas que complementen la formación de estudiantes y apoyen la conciliación familiar.</t>
  </si>
  <si>
    <t>La tasa de asistencia media es 88,4% (11,6% deserción) y se agrava sin actividades complementarias para 9.766 alumnos municipales. La encuesta NNA (n=21) muestra 0% de evaluación positiva; 48% desea cafeterías/cines, 19% centros juveniles y 15% plazas como nuevos espacios. Las actividades deseadas incluyen deportes (43%), voluntariado (24%) y arte (10%), evidenciando demanda diversa. Los delitos de drogas aumentaron 440% y el 38% de NNA identifica consumo de sustancias en su entorno, requiriendo alternativas preventivas conforme al ODS 4. Los delitos de armas crecieron 308% (de 13 a 53 casos), complementando el aumento en vida (+126%), drogas (+440%) y robos violentos (+107%). Los adultos mayores víctimas 65+ crecieron +554% en vida y +567% en robos, siendo grupo más vulnerable (Carabineros 2024).</t>
  </si>
  <si>
    <t>Talleres ofrecidos; Participación de estudiantes; Rendimiento académico asociado</t>
  </si>
  <si>
    <t>Talleres esporádicos sin programa formal</t>
  </si>
  <si>
    <t>20 talleres/año; 500 estudiantes</t>
  </si>
  <si>
    <t>40 talleres/año; 1.200 estudiantes; mejora 10% rendimiento</t>
  </si>
  <si>
    <t>DAEM + DIDECO</t>
  </si>
  <si>
    <t>Municipal + MINEDUC + CNCA</t>
  </si>
  <si>
    <t>ODS 4, 3, 10</t>
  </si>
  <si>
    <t>OE 3.2 Modernizar la Infraestructura y Equipamiento Educativo</t>
  </si>
  <si>
    <t>Fortalecimiento Educación Parvularia "Las Semillas de Rengo"</t>
  </si>
  <si>
    <t>Fortalecer la educación parvularia municipal con mejoras en infraestructura, material didáctico, capacitación de educadoras y ampliación de cobertura.</t>
  </si>
  <si>
    <t>La cobertura preescolar alcanza solo 50,9%, dejando a casi la mitad de los niños sin educación temprana en una comuna con 12.203 menores de 14 años y natalidad que cayó 40,7%. La matrícula pre-básica municipal cayó de 976 (2020) a 849 (2025), una reducción de 13%, mientras la matrícula VTF descendió 27,9%. Los 7 jardines VTF requieren fortalecimiento para cumplir estándares JUNJI, y la pobreza multidimensional de 13,6% afecta el desarrollo infantil temprano. La Ley 20.710 que establece kínder obligatorio y la ERD O"Higgins 2024-2036 priorizan primera infancia. El retiro en educación media bajó a 1,51% (reduccion 69% desde 4,89% en 2009), evidenciando mejora en retención. La cobertura municipal recuperó de 64,32% (2011) a 75,41% (2024), mientras la matrícula total comunal creció 5,9% (de 12.752 a 13.510; SINIM 2024).</t>
  </si>
  <si>
    <t>Mejoras en establecimientos parvularios; Indicadores de desarrollo infantil; Participación de apoderados</t>
  </si>
  <si>
    <t>50,9% cobertura preescolar</t>
  </si>
  <si>
    <t>65% cobertura; 3 jardines mejorados</t>
  </si>
  <si>
    <t>80% cobertura; 100% jardines municipales mejorados; estándares JUNJI</t>
  </si>
  <si>
    <t>Municipal + JUNJI + Integra + MINEDUC</t>
  </si>
  <si>
    <t>ODS 4, 1, 10</t>
  </si>
  <si>
    <t>Mejoramiento Calidad e Infraestructura Educativa</t>
  </si>
  <si>
    <t>Mejorar la infraestructura y equipamiento de establecimientos educacionales municipales, incluyendo reparaciones, laboratorios, bibliotecas y tecnología educativa.</t>
  </si>
  <si>
    <t>Los 27 establecimientos municipales (84,4% del total, 9.766 alumnos) requieren inversiones para competir: el logro PAES es 89,4% con brecha de 12,20 pp respecto a particulares subvencionados. La tasa de asistencia media es 88,4% y la ejecución de inversiones municipales cayó a 32,2% (2024), con recursos no ejecutados estimados en MM $3.526 anuales. El BIP destina $137 MM a educación/cultura (12,5% de $1.101 MM total), con tasa de materialización cayendo a 30,7%. La matrícula municipal creció 8% (de 9.043 a 9.766 alumnos), requiriendo infraestructura acorde a la Ley 20.710. La cobertura municipal se recuperó de 64,32% (mínimo 2011) a 75,41% (2024, +11,09 pp), demostrando que la inversión en infraestructura retiene matrícula frente a subvencionados cuya matrícula creció 102,2% (de 2.176 a 4.401 alumnos; SINIM 2024).</t>
  </si>
  <si>
    <t>Establecimientos mejorados; Satisfacción de comunidad educativa; Indicadores de calidad educativa</t>
  </si>
  <si>
    <t>Sin plan de mejoramiento integral</t>
  </si>
  <si>
    <t>5 establecimientos mejorados; 80% satisfacción</t>
  </si>
  <si>
    <t>100% establecimientos mejorados; 90% satisfacción; mejora SIMCE</t>
  </si>
  <si>
    <t>DAEM + DOM</t>
  </si>
  <si>
    <t>FNDR + MINEDUC + Municipal</t>
  </si>
  <si>
    <t>ODS 4, 9, 10</t>
  </si>
  <si>
    <t>Potenciar Liceos "Educación del Futuro"</t>
  </si>
  <si>
    <t>Modernizar liceos municipales con infraestructura tecnológica, laboratorios, talleres técnico-profesionales y ampliación de cupos para enseñanza media.</t>
  </si>
  <si>
    <t>Solo 39% de la población accede a educación superior y la escolaridad promedio es 11,1 años (brecha de 1 año con el nacional de 12,1). La matrícula media TP creció 21,4% (de 1.219 a 1.480 alumnos), mostrando demanda de formación técnica en una comuna con 4.829 empresas. El logro PAES de 89,4% requiere mejoras en infraestructura para cerrar la brecha de 12,20 pp, mientras el PIB destina $137 MM a educación (12,5%). La construcción de sede UOH en Rengo genera sinergia con liceos modernizados conforme al ODS 4 y la Ley 20.710. Los 2 Liceos Bicentenario de Excelencia posicionan a Rengo como referente educativo regional. La media TP creció 21,4% (de 1.219 a 1.480 alumnos), evidenciando demanda de formación técnica articulable con las 4.829 empresas comunales (1a regional; DAEM 2025).</t>
  </si>
  <si>
    <t>Infraestructura modernizada; Resultados académicos; Cupos disponibles en I medio</t>
  </si>
  <si>
    <t>Liceos con infraestructura desactualizada</t>
  </si>
  <si>
    <t>2 liceos modernizados; 10% mejora resultados</t>
  </si>
  <si>
    <t>100% liceos modernizados; 20% mejora SIMCE; ampliación cupos</t>
  </si>
  <si>
    <t>FNDR + MINEDUC + Municipal + FAE</t>
  </si>
  <si>
    <t>OE 3.3 Fortalecer el Acceso a la Educación Superior y Continua</t>
  </si>
  <si>
    <t>Administración Educacional: Traspaso Eficiente</t>
  </si>
  <si>
    <t>Gestionar el traspaso de la educación municipal al Servicio Local de Educación Pública (SEP) de manera transparente, participativa y sin interrupciones de servicio.</t>
  </si>
  <si>
    <t>La Ley 21.040 establece el traspaso al SLEP, afectando 27 establecimientos municipales con 9.766 alumnos y un DEM con más de 170 sumarios activos por convivencia laboral. La matrícula municipal representa 76% del total comunal (vs 35-40% nacional), evidenciando la importancia del traspaso ordenado para 65.786 habitantes. La encuesta funcionaria (n=116) señala 48% de relevancia laboral percibida y 22% de disputas, reflejando clima que requiere gestión del cambio. La profesionalización municipal de 34,5% entre 939 funcionarios demanda acompañamiento técnico conforme al ODS 16. El traspaso financiero de educacion evolucionó de $1.155M (2012) a $0 (2016), precedente que exige transparencia en la transición al SLEP para proteger los 9.766 alumnos municipales (76% de matrícula comunal; SINIM 2024).</t>
  </si>
  <si>
    <t>Procesos de traspaso completados; Transparencia percibida; Satisfacción de funcionarios</t>
  </si>
  <si>
    <t>Traspaso a SLEP pendiente</t>
  </si>
  <si>
    <t>Plan de traspaso aprobado; 50% procesos completados</t>
  </si>
  <si>
    <t>100% traspaso completado; continuidad de servicio; 80% satisfacción</t>
  </si>
  <si>
    <t>DAEM + Alcaldía</t>
  </si>
  <si>
    <t>Municipal + MINEDUC + SLEP</t>
  </si>
  <si>
    <t>ODS 4, 16, 17</t>
  </si>
  <si>
    <t>Alianzas Educativas para el Futuro</t>
  </si>
  <si>
    <t>Establecer alianzas con universidades, centros de formación técnica e instituciones de investigación para mejorar la calidad educativa y ampliar oportunidades de formación.</t>
  </si>
  <si>
    <t>Solo 39% accede a educación superior y la sede UOH en Rengo abre oportunidades de vinculación académica para los 9.766 alumnos municipales. La escolaridad promedio de 11,1 años requiere diversificar opciones formativas, y la matrícula TP creció 21,4% evidenciando demanda técnico-profesional. El IDHC evolucionó de 0,51 a 0,74, con la dimensión educativa creciendo de 0,55 a 0,72, pero la brecha con el nacional persiste. Las 4.829 empresas (1a en región) requieren capital humano calificado conforme al ODS 4 y la ERD O"Higgins 2024-2036. Los 2 Liceos Bicentenario de Excelencia posicionan a Rengo como referente educativo regional. La media TP creció 21,4% (de 1.219 a 1.480 alumnos), evidenciando demanda de formación técnica articulable con las 4.829 empresas comunales (1a regional; DAEM 2025). La matrícula municipal incluye 4 liceos TP con crecimiento de 21,4% en matrícula técnico-profesional, y la sede UOH en Rengo ofrece vinculación universitaria directa. (Fuente: DAEM 2025; SINIM 2024; Encuesta NNA n=21)</t>
  </si>
  <si>
    <t>Alianzas formalizadas; Proyectos conjuntos; Impacto en calidad educativa</t>
  </si>
  <si>
    <t>1 alianza parcial con UOH</t>
  </si>
  <si>
    <t>5 alianzas; 3 proyectos conjuntos</t>
  </si>
  <si>
    <t>10 alianzas; 8 proyectos; programa de prácticas activo</t>
  </si>
  <si>
    <t>DAEM + SECPLAN</t>
  </si>
  <si>
    <t>Municipal + MINEDUC + Universidades + GORE</t>
  </si>
  <si>
    <t>ODS 4, 9, 17</t>
  </si>
  <si>
    <t>Capacitaciones Adultos "Rengo Te Capacita"</t>
  </si>
  <si>
    <t>Ofrecer cursos de capacitación para adultos mayores en alfabetización digital, idiomas, manualidades y habilidades prácticas, promoviendo el aprendizaje permanente.</t>
  </si>
  <si>
    <t>Los 8.796 adultos mayores (IE=72,1, aumento de 34% desde 2017) requieren aprendizaje continuo; 42,8% evaluados presentan algún grado de riesgo/dependencia funcional y 170 personas tienen dependencia grave. La brecha digital excluye a mayores del acceso a servicios en línea, con 67% de viviendas sin conexión fija y encuesta ciudadana que califica atención digital con 3,0/5 (umbral mínimo). SENAMA y SENCE ofrecen programas que requieren articulación local, y la Ley 21.180 de transformación digital exige accesibilidad universal. La inclusión digital contribuye al ODS 10 de reducción de desigualdades. La población 60+ totaliza 12.523 personas (19,7%), con 8.796 mayores de 65+ (Y=72,1, aumento de 34% desde 2017). La evaluación funcional muestra 42,8% con riesgo/dependencia y 170 con dependencia grave/total. Los AVPP aumentaron 46,3% entre 2018-2022 (DEIS 2024; Censo INE 2024).</t>
  </si>
  <si>
    <t>Adultos mayores capacitados; Participación en cursos; Habilidades adquiridas</t>
  </si>
  <si>
    <t>0 programas formales de capacitación para adultos mayores</t>
  </si>
  <si>
    <t>100 adultos mayores/año; 6 cursos</t>
  </si>
  <si>
    <t>300 adultos mayores/año; 12 cursos; 80% alfabetización digital</t>
  </si>
  <si>
    <t>Municipal + SENAMA + SENCE</t>
  </si>
  <si>
    <t>ODS 4, 10, 3</t>
  </si>
  <si>
    <t>Escuela Empoderamiento para Padres</t>
  </si>
  <si>
    <t>Crear una escuela para padres y apoderados con talleres sobre desarrollo infantil, habilidades parentales, convivencia digital y apoyo al aprendizaje en el hogar.</t>
  </si>
  <si>
    <t>La violencia escolar recurrente afecta a 24% de NNA y la VIF registra 608 casos (78% contra mujeres), evidenciando necesidad de fortalecer competencias parentales en hogares vulnerables. La tasa de asistencia media de 88,4% se vincula a factores familiares, con pobreza multidimensional de 13,6% afectando 8.600 personas. La cobertura preescolar de solo 50,9% refleja debilidades en acompañamiento temprano, y los 9.766 alumnos municipales requieren entorno familiar favorable. La Ley 20.710 y el ODS 4 fundamentan la formación parental como estrategia de mejoramiento educativo integral. El 67% de NNA dice ser escuchado solo a veces y 24% siempre, evidenciando debilidad en competencias parentales de escucha activa que los talleres para padres pueden fortalecer (Diagnóstico NNA n=21).</t>
  </si>
  <si>
    <t>Talleres realizados; Participación de padres y apoderados; Satisfacción de familias</t>
  </si>
  <si>
    <t>0 programas formales de escuela para padres</t>
  </si>
  <si>
    <t>12 talleres/año; 300 padres</t>
  </si>
  <si>
    <t>24 talleres/año; 800 padres; 85% satisfacción</t>
  </si>
  <si>
    <t>ODS 4, 3, 16</t>
  </si>
  <si>
    <t>Fomento Educación Superior "Formación para el Futuro"</t>
  </si>
  <si>
    <t>Crear un programa de orientación vocacional, becas municipales y apoyo a la postulación a beneficios estatales (FUAS, Gratuidad, Becas Chile) para egresados de los establecimientos de Rengo, mejorando el acceso a educación superior desde una comuna con 76% de matrícula municipal y PAES promedio de 89.4 puntos.</t>
  </si>
  <si>
    <t>Solo 39% accede a educación superior (brecha estructural) y la escolaridad promedio es 11,1 años en una comuna de 65.786 habitantes. La pobreza multidimensional de 13,6% limita opciones de financiamiento de estudios superiores, con vulnerabilidad FONASA A+B del 62,5%. El IDHC educativo evolucionó de 0,55 (2013) a 0,72 (2023), requiriendo mantener la trayectoria ascendente para cerrar brecha con el nacional. La construcción de sede UOH en Rengo y las 4.829 empresas (1a en región) generan demanda de profesionales locales conforme al ODS 4 y la Ley 20.710. Los 2 Liceos Bicentenario de Excelencia posicionan a Rengo como referente educativo regional. La media TP creció 21,4% (de 1.219 a 1.480 alumnos), evidenciando demanda de formación técnica articulable con las 4.829 empresas comunales (1a regional; DAEM 2025).</t>
  </si>
  <si>
    <t>Matrícula en educación superior; Programas de orientación realizados; Empleabilidad de egresados</t>
  </si>
  <si>
    <t>39% acceso a educación superior</t>
  </si>
  <si>
    <t>45% acceso; 300 orientaciones/año</t>
  </si>
  <si>
    <t>55% acceso; 500 orientaciones/año; 80% empleabilidad egresados</t>
  </si>
  <si>
    <t>DAEM + OMIL</t>
  </si>
  <si>
    <t>Municipal + MINEDUC + Universidades + JUNAEB</t>
  </si>
  <si>
    <t>Mejoramiento Alianza Preuniversitaria</t>
  </si>
  <si>
    <t>Fortalecer el programa preuniversitario municipal con más cupos, tutorías personalizadas y convenios con universidades para facilitar el acceso a educación superior.</t>
  </si>
  <si>
    <t>Solo 39% accede a educación superior y la escolaridad promedio de 11,1 años requiere continuidad educativa para los 9.766 alumnos municipales. La matrícula total municipal creció 8% (de 9.043 a 9.766 alumnos), evidenciando demanda creciente de preparación universitaria. La construcción de sede UOH en Rengo abre oportunidades que requieren preparación previa, y el IDHC educativo evolucionó de 0,55 a 0,72. La pobreza multidimensional de 13,6% limita el acceso a preuniversitarios privados, requiriendo acción municipal conforme al ODS 4 y la Ley 20.710. La brecha PAES evolucionó de 7,26 pp (2022) a 14,69 pp (2023) y 12,20 pp (2024), mostrando volatilidad que requiere preparación consistente. De 644 estudiantes que rindieron PAES 2024, 68 no acceden a educación superior (SINIM 2024).</t>
  </si>
  <si>
    <t>Estudiantes en programa; Ingreso a universidades; Satisfacción de beneficiarios</t>
  </si>
  <si>
    <t>Preuniversitario municipal con cobertura limitada</t>
  </si>
  <si>
    <t>200 estudiantes/año; 60% ingreso universidad</t>
  </si>
  <si>
    <t>400 estudiantes/año; 75% ingreso; convenios con 5 universidades</t>
  </si>
  <si>
    <t>Municipal + MINEDUC + Universidades</t>
  </si>
  <si>
    <t>ODS 4, 10, 8</t>
  </si>
  <si>
    <t>Rescatando Oficios Tradicionales</t>
  </si>
  <si>
    <t>Crear un programa de formación en oficios tradicionales (herrería, talabartería, tejido, alfarería) que preserve saberes ancestrales y genere oportunidades económicas.</t>
  </si>
  <si>
    <t>La urbanización acelerada (+20,6% desde 2001, 79,5% urbana) y modernización extinguen oficios tradicionales en un territorio fundado en 1831 con tradición campesina centenaria. La escolaridad de 11,1 años no incluye formación en oficios patrimoniales, y la contracción agrícola (-26%, 3.950 ha) transforma la base productiva de 4.541 unidades. Las 330 organizaciones comunitarias incluyen portadores de saberes en riesgo, y los 3.813 habitantes de pueblos originarios (5,99%) aportan tradiciones artesanales. La preservación de oficios contribuye al ODS 11 de ciudades sostenibles y a la identidad territorial de la ERD O"Higgins 2024-2036. El embalse del Rio Claro (10 M m3) y la Junta de Vigilancia (1.200 regantes, 74 años de funcionamiento) son infraestructura crítica. Las precipitaciones proyectadas caen -14,4% al 2050 y la sequía estival aumenta de 39,9% a 54,3% al 2065 (Diagnóstico Climático 2025). Los 4.541 productores agropecuarios y 330 organizaciones comunitarias son portadores de saberes tradicionales que la formación técnica puede rescatar. (Fuente: DAEM 2025; SINIM 2024; Encuesta NNA n=21)</t>
  </si>
  <si>
    <t>Capacitaciones en oficios realizadas; Participación de aprendices; Empleabilidad en oficios</t>
  </si>
  <si>
    <t>0 programas de oficios tradicionales</t>
  </si>
  <si>
    <t>3 oficios enseñados; 60 aprendices</t>
  </si>
  <si>
    <t>8 oficios; 200 aprendices; feria de oficios anual</t>
  </si>
  <si>
    <t>Municipal + CNCA + Fondart + SENCE</t>
  </si>
  <si>
    <t>ODS 4, 8, 11</t>
  </si>
  <si>
    <t>Eje 4: Desarrollo Urbano, Vivienda, Infraestructura, Vialidad y Medio Ambiente</t>
  </si>
  <si>
    <t>OE 4.1 Actualizar el Plan Regulador Comunal con enfoque de desarrollo sostenible</t>
  </si>
  <si>
    <t>Vivienda y Urbanismo Comunal</t>
  </si>
  <si>
    <t>Actualización Odenanza de Espacios Públicos</t>
  </si>
  <si>
    <t>Actualizar y modernizar la Ordenanza Municipal de Espacios Públicos para incorporar estándares contemporáneos de planificación urbana que permitan desconcentrar el desarrollo territorial del centro histórico hacia sectores periféricos y rurales. La nueva ordenanza establece criterios para la creación de parques, plazas y equipamientos comunitarios descentralizados, apuntando a reducir el déficit actual de 1,96 m²/hab de áreas verdes frente al estándar de la OMS de 9-10 m²/hab, en un contexto de crecimiento poblacional de +20,6% registrado en el Censo INE 2024.</t>
  </si>
  <si>
    <t>El PRC de Rengo lleva más de 16 años sin actualizar en un territorio de 592 km² con crecimiento poblacional de +20,6% (Censo INE 2024, 65.786 hab.). El déficit de áreas verdes es 1,96 m²/hab frente al estándar OMS de 9-10 m²/hab. Las JJVV entrevistadas denuncian que no se tienen plazas ni equipamiento de interacción. Sin una ordenanza actualizada de espacios públicos, la planificación del crecimiento urbano carece de marco regulatorio para descentralizar equipamiento hacia sectores periféricos y rurales. El GORE señala que la distribución de terrenos requiere herramientas normativas modernas.</t>
  </si>
  <si>
    <t>Ordenanza aprobada por Concejo Municipal (S/N); N° de espacios públicos regulados; Superficie m² nuevos espacios planificados; Zonas periféricas con normativa</t>
  </si>
  <si>
    <t>Ordenanza de Espacios Públicos desactualizada; áreas verdes 1,96 m²/hab (déficit vs OMS)</t>
  </si>
  <si>
    <t>Ordenanza nueva aprobada por Concejo; 5 nuevos espacios públicos regulados en instrumento de planificación</t>
  </si>
  <si>
    <t>Áreas verdes per cápita &gt;= 4 m²/hab; 15 nuevos parques/plazas habilitados; normativa descentralizadora vigente</t>
  </si>
  <si>
    <t>SECPLAN + DOM + Concejo Municipal</t>
  </si>
  <si>
    <t>Municipal + MINVU + GORE</t>
  </si>
  <si>
    <t>ODS 11, 3, 15</t>
  </si>
  <si>
    <t>Ciudad Verde: Planificación Urbana Sostenible</t>
  </si>
  <si>
    <t>Actualizar el Plan Regulador Comunal integrando criterios de sostenibilidad, áreas verdes, movilidad sustentable, gestión de riesgos y participación ciudadana en la planificación territorial.</t>
  </si>
  <si>
    <t>El PRC tiene más de 16 años sin actualizar, con solo 1,96 m2/hab de áreas verdes (OMS: 9-10 m2/hab) y 80% de especies exóticas. El diagnóstico normativo muestra 41,8% de decretos sobre urbanismo pero 0% de cobertura en desarrollo social, salud y educación. La contracción agrícola (-26%, 3.950 ha) requiere planificación sostenible. La red de salud realiza 91.606 consultas medicas APS (3a regional, promedio 43.894) y 520.000 prestaciones anuales (+176% desde 2012). Los ESPA alcanzan 4.535 (+152% sobre promedio regional), demostrando capacidad de atención que requiere consolidación (SINIM 2024).</t>
  </si>
  <si>
    <t>Avance actualización PRC; Superficie áreas verdes (m²/hab); Participación ciudadana en planificación</t>
  </si>
  <si>
    <t>PRC desactualizado (16 años) + 1.96 m²/hab áreas verdes</t>
  </si>
  <si>
    <t>PRC actualizado y aprobado + meta 4 m²/hab áreas verdes</t>
  </si>
  <si>
    <t>PRC implementado + 7 m²/hab áreas verdes + planificación territorial integral</t>
  </si>
  <si>
    <t>SECPLAN + DOM + Depto. Medio Ambiente</t>
  </si>
  <si>
    <t>Municipal + MINVU + SEREMI MINVU + GORE</t>
  </si>
  <si>
    <t>ODS 11, 13, 15</t>
  </si>
  <si>
    <t>Desarrollo de Viviendas Sociales"Hogar Digno"</t>
  </si>
  <si>
    <t>Gestionar y ejecutar proyectos de vivienda social para reducir el déficit habitacional comunal, articulando subsidios MINVU, terrenos municipales y comités de vivienda organizados.</t>
  </si>
  <si>
    <t>El déficit habitacional de 5,9% (1.401 unidades) es uno de los más altos de la región, con campamento adyacente al cauce del Río Claro sin franjas de amortiguación. La expansión periférica sobre suelos agrícolas de alta calidad genera tensión territorial. El BIP destina $47 MM a vivienda y desarrollo urbano (4,2% de inversión total). La cobertura de agua potable es 93,1% (18a de 33, promedio regional 87,3%) y alcantarillado 75,1% (urbano 82,3% vs rural 51,4%, brecha 30,9 pp). El déficit habitacional es 1.401 unidades (5,9%, no 28,8% como datos previos; Censo INE 2024).</t>
  </si>
  <si>
    <t>Viviendas sociales construidas; Familias beneficiadas; Reducción déficit habitacional (%)</t>
  </si>
  <si>
    <t>Déficit habitacional 5,9% (1.401 unidades) + lista de espera extensa</t>
  </si>
  <si>
    <t>500 viviendas gestionadas + reducción déficit a 20%</t>
  </si>
  <si>
    <t>1,500 viviendas + déficit bajo 10% + integración social garantizada</t>
  </si>
  <si>
    <t>Depto. Vivienda + SECPLAN + DOM</t>
  </si>
  <si>
    <t>Municipal + MINVU + SERVIU + FNDR + GORE</t>
  </si>
  <si>
    <t>ODS 1, 11</t>
  </si>
  <si>
    <t>Plan Maestro de Urbanización Sostenible</t>
  </si>
  <si>
    <t>Elaborar plan maestro de urbanización sostenible que oriente el crecimiento urbano con infraestructura verde, conectividad, equipamiento comunitario y gestión integrada de recursos hídricos.</t>
  </si>
  <si>
    <t>El PRC desactualizado (16+ años) y la crisis hídrica (-30-35% precipitaciones) demandan planificación sostenible. La demanda hídrica es 220,8 hm3/año con oferta de 541 hm3/año, y la proyección al 2050 indica +2,2°C y -111 mm de precipitación. El BIP destina $297 MM a recursos hídricos (27% del total). Rengo cuenta con 65.786 hab. (Censo INE 2024), 4.829 empresas (1a regional) y un BHT promedio de 0,537, con 44,9% de población en quintiles inferiores. La correlación socioeconómica-BHT (r=0,831) evidencia que las intervenciones sociales son el principal motor de bienestar territorial (Diagnóstico PLADECO 2025).</t>
  </si>
  <si>
    <t>Plan maestro elaborado y aprobado; Proyectos derivados en ejecución; Indicadores de sostenibilidad urbana</t>
  </si>
  <si>
    <t>Sin plan maestro de urbanización sostenible</t>
  </si>
  <si>
    <t>Plan maestro aprobado + primeros proyectos en ejecución</t>
  </si>
  <si>
    <t>Plan maestro implementado al 70% + indicadores de sostenibilidad positivos</t>
  </si>
  <si>
    <t>Municipal + MINVU + MOP + MMA + GORE</t>
  </si>
  <si>
    <t>ODS 6, 11, 13</t>
  </si>
  <si>
    <t>OE 4.1 Modernizar la Infraestructura Vial y de Conectividad</t>
  </si>
  <si>
    <t>Infraestructura Vialidad Comunal y Medio Ambiente</t>
  </si>
  <si>
    <t>Crecimiento y Resguardo Comunal: Prevención desde los territorios</t>
  </si>
  <si>
    <t>Promover un modelo de crecimiento territorial, habitacional y urbano que integre la reserva planificada de suelo para la instalación futura de servicios públicos y equipamiento de emergencia. La iniciativa contempla la incorporación de criterios de resguardo en el Plan Regulador Comunal (PRC), definiendo zonas de reserva en sectores como Esmeralda, Rinconada de Malambo, Rosario y La Chimba, donde Bomberos ha identificado déficit crítico de infraestructura de respuesta ante los 110 incendios forestales registrados en la década 2010-2018 y la creciente crisis hídrica comunal.</t>
  </si>
  <si>
    <t>El crecimiento poblacional de Rengo (+20,6% desde 2001) ha generado expansión habitacional sin reserva de suelo para servicios de emergencia. Bomberos señala que sectores como Esmeralda, Rinconada de Malambo, Rosario y La Chimba necesitan cuarteles urgentemente, pero la urbanización avanzada dificulta encontrar terrenos. El diagnóstico registra 110 incendios forestales (2010-2018) y la crisis hídrica incrementa el riesgo. La Ley 21.364 de Gestión del Riesgo exige que los municipios incorporen la prevención en la planificación territorial, requiriendo reservar suelo para equipamiento de emergencia.</t>
  </si>
  <si>
    <t>N° de terrenos reservados para servicios de emergencia; PRC actualizado con criterio de resguardo (S/N); N° sectores críticos cubiertos</t>
  </si>
  <si>
    <t>Sin reserva formal de suelo para emergencia en 4 sectores críticos; sin criterio de resguardo en instrumento de planificación</t>
  </si>
  <si>
    <t>2 terrenos reservados para cuarteles de Bomberos; PRC con criterio de resguardo incorporado</t>
  </si>
  <si>
    <t>4 sectores críticos cubiertos con infraestructura de emergencia planificada; suelo resguardado en plan regulador</t>
  </si>
  <si>
    <t>SECPLAN + DOM + Alcaldía</t>
  </si>
  <si>
    <t>Municipal + FNDR + GORE + MINVU</t>
  </si>
  <si>
    <t>ODS 11, 13, 9</t>
  </si>
  <si>
    <t>Ciclovías Conectadas</t>
  </si>
  <si>
    <t>Diseñar y construir una red integrada de ciclovías que conectan barrios residenciales con centros de servicios, comercio y equipamiento, promoviendo movilidad sustentable.</t>
  </si>
  <si>
    <t>Rengo tiene 0 km de ciclovías para sus 65.786 habitantes, con densidad de &gt;4.000 hab/km2 en casco urbano que genera demanda de movilidad activa. Las precipitaciones disminuyeron 30-35% demandando reducción de emisiones, y la demanda hídrica total es 220,8 hm3/año con proyección de -111 mm al 2050. El BIP destina $172 MM a transporte (15,6%), con 245 proyectos históricos, pero ninguno de ciclovías. La Ley 18.695 art. 4 letra a sobre infraestructura vial y el ODS 13 de acción climática fundamentan la inversión en movilidad sustentable. La cobertura de agua potable es 93,1% (18a de 33, promedio regional 87,3%) y alcantarillado 75,1% (urbano 82,3% vs rural 51,4%, brecha 30,9 pp). El déficit habitacional es 1.401 unidades (5,9%, no 28,8% como datos previos; Censo INE 2024).</t>
  </si>
  <si>
    <t>Km de ciclovías construidos; Reducción de emisiones estimada; Uso diario de ciclovías</t>
  </si>
  <si>
    <t>0 km de ciclovías</t>
  </si>
  <si>
    <t>8 km red básica; 500 usuarios/día</t>
  </si>
  <si>
    <t>20 km red integrada; 2.000 usuarios/día; -15% emisiones transporte</t>
  </si>
  <si>
    <t>FNDR + MOP + MINVU + Municipal</t>
  </si>
  <si>
    <t>ODS 11, 13, 3</t>
  </si>
  <si>
    <t>Mejoramiento de Avenida Libertad "Rosario que Queremos"</t>
  </si>
  <si>
    <t>Estudiar, Diseñar y Construir mejoras de Avenida Libertad en Rosario como eje estructurante con ciclovía, veredas amplias, arborización y conectividad con Rengo urbano.</t>
  </si>
  <si>
    <t>Rosario (12.000 hab aprox.) carece de eje vial estructurante, con déficit habitacional de 5,9% (1.401 unidades) y conurbación incipiente Rengo-Rosario que requiere planificación. El BIP muestra concentración territorial extrema: Rosario tiene solo 72 proyectos ($8 MM) vs Rengo Centro con 776 ($960 MM, 87,2%). La brecha urbano-rural es reconocida por 82% de funcionarios municipales encuestados (n=116), y el PRC desactualizado (16+ años) no contempla ejes estructurantes. La Ley 18.695 art. 4 letra a sobre infraestructura y el ODS 10 fundamentan la inversión descentralizada. El patrimonio municipal paso de -$1.460M (2012) a +$9.400M (2023, +$10.860M), con transparencia CPLT mejorando de 16,41% a 97,89%. Sin embargo, el gasto corriente de 84,57% y gasto en personal de 74,0% (sobre umbral CGR de 70%) limitan inversión (SINIM 2024).</t>
  </si>
  <si>
    <t>Progreso de construcción (%); Satisfacción vecinal; Conectividad mejorada</t>
  </si>
  <si>
    <t>0% avance; sin diseño</t>
  </si>
  <si>
    <t>100% construida; 85% satisfacción; tiempo de viaje Rosario-Rengo -30%</t>
  </si>
  <si>
    <t>FNDR + MOP + GORE + Municipal</t>
  </si>
  <si>
    <t>ODS 9, 11, 10</t>
  </si>
  <si>
    <t>Mejoramiento Ruta H-50 "Innovación y Seguridad"</t>
  </si>
  <si>
    <t>Modernizar la Ruta H 50 con mejoras en pavimentación, señalética, iluminación y seguridad vial, mejorando la conectividad intercomunal de Rengo.</t>
  </si>
  <si>
    <t>La Ruta H 50 es eje vial crítico para Rengo (65.786 hab.) que conecta con Rancagua a 23 km y articula distritos como Césares (33.103 hab.) y Chapetón (9.500 hab.). El PRC lleva más de 16 años sin actualizar, y el BIP registra 245 proyectos de transporte (20,7%) con $172 MM de inversión, el sector con más proyectos. La tasa de materialización de proyectos cayó a 30,7% en el período 2014-2025, con 257 postulaciones (61,2%). La encuesta ciudadana califica calles y tránsito con 2,82/5 (puntaje más bajo), exigiendo modernización conforme al ODS 9. La cobertura de agua potable es 93,1% (18a de 33, promedio regional 87,3%) y alcantarillado 75,1% (urbano 82,3% vs rural 51,4%, brecha 30,9 pp). El déficit habitacional es 1.401 unidades (5,9%, no 28,8% como datos previos; Censo INE 2024).</t>
  </si>
  <si>
    <t>Km modernizados; Reducción de accidentes; Satisfacción de usuarios</t>
  </si>
  <si>
    <t>Ruta H 50 con tramos deteriorados</t>
  </si>
  <si>
    <t>5 km modernizados; 20% reducción accidentes</t>
  </si>
  <si>
    <t>100% ruta modernizada; 40% reducción accidentes; señalética completa</t>
  </si>
  <si>
    <t>MOP + FNDR + GORE</t>
  </si>
  <si>
    <t>ODS 9, 11, 3</t>
  </si>
  <si>
    <t>Estudiar, Diseñar e Instalar Caseta de reparación de bicicletas en rutas interiores de la comuna</t>
  </si>
  <si>
    <t>Estudiar, diseñar e instalar casetas de reparación y mantención de bicicletas en las rutas interiores de la comuna de Rengo, ubicadas en puntos estratégicos de conexión urbano-rural, equipadas con herramientas básicas, infladores y kit de emergencia para fomentar la movilidad sustentable en los 592 km2 del territorio.</t>
  </si>
  <si>
    <t>Según Diagnóstico PLADECO 2025, el PRC de Rengo lleva 16 años sin actualizar, alcantarillado cubre 75,1%, areas verdes 1,96 m2/hab (norma OMS: 9 m2/hab), crisis hídrica proyecta déficit -30-35%, se registran 110 incendios forestales promedio y el PACCC estima 67,46 ktCO2e anuales. La superficie comunal de 592 km2 requiere planificación territorial actualizada. La ausencia de ciclovías en una comuna de 592 km2 limita la movilidad sustentable y la conectividad territorial.</t>
  </si>
  <si>
    <t>Km de ciclovías construidas; Estaciones de reparación instaladas; Usuarios ciclistas</t>
  </si>
  <si>
    <t>DOM + SECPLAN</t>
  </si>
  <si>
    <t>FNDR + MINVU + Municipal</t>
  </si>
  <si>
    <t>ODS 6, 9, 11, 13</t>
  </si>
  <si>
    <t>Paraderos Inteligentes "Todos Conectados"</t>
  </si>
  <si>
    <t>Instalar paraderos de transporte público con tecnología inteligente (pantallas informativas, carga USB, iluminación solar, WiFi) mejorando la experiencia del usuario.</t>
  </si>
  <si>
    <t>El transporte público carece de infraestructura moderna para 65.786 habitantes, con paraderos de diversas tipologías y distinto estado de conservación según el diagnóstico de espacio público. Los 7.256 PcD (12,1%) requieren paraderos accesibles conforme a la Ley 20.422, y el 62,5% de vulnerabilidad FONASA A+B depende del transporte público. Las empresas GALVUS y SERVIBUS con 6 líneas de colectivos sirven una comuna de 592 km2 con dispersión territorial significativa. La encuesta ciudadana califica calles y tránsito con 2,82/5, el más bajo, conforme al ODS 9. La estructura empresarial muestra 953 unidades en manufactura (1a regional, +256%), 834 en comercio (1a, +337%) y 714 en construcción (1a, +303%). Los 12.453 trabajadores en microempresas (78,3%) evidencian predominio de empleo en pequeña escala (SINIM 2024).</t>
  </si>
  <si>
    <t>Paraderos inteligentes instalados; Satisfacción de usuarios; Reducción tiempos de espera percibidos</t>
  </si>
  <si>
    <t>Paraderos convencionales sin tecnología</t>
  </si>
  <si>
    <t>10 paraderos inteligentes; 80% satisfacción</t>
  </si>
  <si>
    <t>30 paraderos; 90% satisfacción; 100% accesibilidad universal</t>
  </si>
  <si>
    <t>FNDR + MTT + GORE + Municipal</t>
  </si>
  <si>
    <t>Rengo Conectado: Potenciando Movilidad</t>
  </si>
  <si>
    <t>Desarrollar una cartera de proyectos integrales de movilidad urbana que incluyan transporte público, ciclovías, veredas accesibles y señalización inteligente para mejorar la conectividad interna.</t>
  </si>
  <si>
    <t>Rengo tiene 0 km de ciclovías y 7.256 PcD (12,1%) enfrentan barreras de movilidad en una comuna de 65.786 hab. con densidad de &gt;4.000 hab/km2 en casco urbano. El alcantarillado cubre 77% y la infraestructura vial requiere modernización, con BIP concentrado en Rengo Centro (87,2% de inversión, $960 MM). La encuesta ciudadana califica calles y tránsito con 2,82/5, el puntaje más bajo, y la Ley 20.422 exige accesibilidad universal. Las empresas GALVUS y SERVIBUS con 6 líneas de colectivos son insuficientes para la dispersión territorial de 592 km2 conforme al ODS 11. La estructura empresarial muestra 953 unidades en manufactura (1a regional, +256%), 834 en comercio (1a, +337%) y 714 en construcción (1a, +303%). Los 12.453 trabajadores en microempresas (78,3%) evidencian predominio de empleo en pequeña escala (SINIM 2024).</t>
  </si>
  <si>
    <t>Proyectos de movilidad ejecutados; Reducción tiempos de desplazamiento; Accesibilidad mejorada</t>
  </si>
  <si>
    <t>Sin plan integral de movilidad</t>
  </si>
  <si>
    <t>Plan aprobado; 3 proyectos ejecutados</t>
  </si>
  <si>
    <t>10 proyectos ejecutados; 20% reducción tiempos; 100% veredas accesibles centro</t>
  </si>
  <si>
    <t>FNDR + MOP + MINVU + MTT + Municipal</t>
  </si>
  <si>
    <t>Estudio, Diseño y Ejecución de Cartera de Proyecto de Movilidad: Mejoramiento de vías de alta frecuencia y conectividad al interior de Rengo</t>
  </si>
  <si>
    <t>Elaborar un estudio técnico y ejecutar la cartera de proyectos de movilidad que mejore vías de alta frecuencia vehicular y conectividad interna de Rengo, priorizando los ejes que vinculan el centro urbano con Rosario, Esmeralda y localidades rurales, con diseño vial actualizado, señalización y carpetas de rodado.</t>
  </si>
  <si>
    <t>Según Diagnóstico PLADECO 2025, el PRC de Rengo lleva 16 años sin actualizar, alcantarillado cubre 75,1%, areas verdes 1,96 m2/hab (norma OMS: 9 m2/hab), crisis hídrica proyecta déficit -30-35%, se registran 110 incendios forestales promedio y el PACCC estima 67,46 ktCO2e anuales. La superficie comunal de 592 km2 requiere planificación territorial actualizada. La conectividad vial comunal requiere mejoramiento para una población de 65.786 hab distribuida en 592 km2 con 21 unidades vecinales.</t>
  </si>
  <si>
    <t>Km de vías mejoradas; Proyectos ejecutados; Reducción tiempos desplazamiento</t>
  </si>
  <si>
    <t>Estudio de nueva zona de ingreso y salida de Rengo</t>
  </si>
  <si>
    <t>Desarrollar un estudio de ingeniería para definir una nueva zona de acceso y salida de Rengo que descomprima los puntos críticos de congestión actuales, evaluando alternativas de conexión con la Ruta 5 Sur y el futuro trazado del Metro Tren, con análisis de flujos vehiculares y diseno geometrico.</t>
  </si>
  <si>
    <t>Estudio de factibilidad completado; Diseño aprobado; Obra ejecutada (%)</t>
  </si>
  <si>
    <t>FNDR + MINVU + SERVIU + Municipal</t>
  </si>
  <si>
    <t>ODS 9, 11, 13</t>
  </si>
  <si>
    <t>Estudiar vías alternativas en la Comuna de Rengo: Desconcentración del Centro - Periferia</t>
  </si>
  <si>
    <t>Desarrollar un estudio técnico de factibilidad para vías alternativas que descongestionan el transito en los ejes principales de la comuna, considerando la conexión Rengo-Rosario, los cruces de la Ruta 5 Sur y la integración con el Metrotren, incluyendo propuestas de diseño vial con estándares de seguridad actualizados.</t>
  </si>
  <si>
    <t>Según Diagnóstico PLADECO 2025, el PRC de Rengo lleva 16 años sin actualizar, alcantarillado cubre 75,1%, areas verdes 1,96 m2/hab (norma OMS: 9 m2/hab), crisis hídrica proyecta déficit -30-35%, se registran 110 incendios forestales promedio y el PACCC estima 67,46 ktCO2e anuales. La superficie comunal de 592 km2 requiere planificación territorial actualizada.</t>
  </si>
  <si>
    <t>Indicador de gestión; Indicador de resultado; Indicador de impacto</t>
  </si>
  <si>
    <t>Soleras, Calles y Ciclovías "Construyendo el Rengo"</t>
  </si>
  <si>
    <t>Ejecutar un programa integral de pavimentación, soleras, cunetas y ciclovías en barrios y sectores con déficit vial, mejorando la calidad de vida y movilidad.</t>
  </si>
  <si>
    <t>Rengo tiene 0 km de ciclovías y múltiples calles sin pavimentar en periferias, con alcantarillado cubriendo solo 77% para 65.786 habitantes. El BIP registra 245 proyectos de transporte (20,7% del total) con $172 MM de inversión, evidenciando prioridad histórica del sector. Las licitaciones muestran 6,9% para construcción y obras, con tasa de éxito de solo 63% y 23,7% sin ofertas. La encuesta ciudadana califica calles y tránsito con 2,82/5, el puntaje más bajo, requiriendo inversión urgente conforme al ODS 9 y la Ley 18.695 art. 4 letra a. La cobertura de agua potable es 93,1% (18a de 33, promedio regional 87,3%) y alcantarillado 75,1% (urbano 82,3% vs rural 51,4%, brecha 30,9 pp). El déficit habitacional es 1.401 unidades (5,9%, no 28,8% como datos previos; Censo INE 2024).</t>
  </si>
  <si>
    <t>Km de ciclovías construidos; Calles mejoradas; Uso de ciclovías</t>
  </si>
  <si>
    <t>0 km ciclovías; calles sin pavimentar en periferias</t>
  </si>
  <si>
    <t>3 km ciclovías; 10 calles pavimentadas</t>
  </si>
  <si>
    <t>12 km ciclovías; 40 calles; red vial integrada</t>
  </si>
  <si>
    <t>OE 4.2 Impulsar programas de regeneración barrial y mejoramiento de viviendas</t>
  </si>
  <si>
    <t>Apoyo al Mejoramiento de Viviendas Existentes</t>
  </si>
  <si>
    <t>Gestionar subsidios y programas de mejoramiento de viviendas existentes para familias vulnerables, incluyendo ampliación, reparación, mejoramiento de baños, cocinas y habitabilidad general.</t>
  </si>
  <si>
    <t>El 28,8% de déficit habitacional incluye viviendas con problemas de habitabilidad en una comuna con 5,4% de pobreza y 13,6% pobreza multidimensional. La vulnerabilidad FONASA A+B alcanza 62,5% y el Registro Social de Hogares muestra 58% de hogares bajo 40%. El BIP destina $47 MM a vivienda (4,2%). La cobertura de agua potable es 93,1% (18a de 33, promedio regional 87,3%) y alcantarillado 75,1% (urbano 82,3% vs rural 51,4%, brecha 30,9 pp). El déficit habitacional es 1.401 unidades (5,9%, no 28,8% como datos previos; Censo INE 2024).</t>
  </si>
  <si>
    <t>Viviendas mejoradas; Subsidios gestionados; Familias beneficiadas; Inversión en mejoramiento</t>
  </si>
  <si>
    <t>Gestión limitada de subsidios de mejoramiento</t>
  </si>
  <si>
    <t>300 viviendas mejoradas + gestión activa de subsidios MINVU</t>
  </si>
  <si>
    <t>1,000 viviendas mejoradas + programa permanente + estándar de habitabilidad comunal</t>
  </si>
  <si>
    <t>Depto. Vivienda + DIDECO + SECPLAN</t>
  </si>
  <si>
    <t>Municipal + MINVU + SERVIU + FNDR</t>
  </si>
  <si>
    <t>Creación y Restauración de Espacios Públicos"Rengo Verde"</t>
  </si>
  <si>
    <t>Crear nuevos espacios públicos y restaurar los existentes con áreas verdes, mobiliario urbano, iluminación, juegos infantiles inclusivos y diseño participativo con la comunidad.</t>
  </si>
  <si>
    <t>Con 1,96 m2/hab de áreas verdes (OMS: 9-10 m2/hab), Rengo tiene déficit crítico: 60% césped amarillento, 70% plazas sin riego tecnificado, 50% plazas periféricas con suelo expuesto. La temperatura puede variar 20°C entre superficies al sol y bajo arbolado. La encuesta ciudadana califica plazas con 2,94/5. El 35,3% de hogares usan leña como combustible principal (Censo 2024) y la cobertura vegetal urbana es solo 13,1% (vs 82,0% rural). Los centros de reciclaje son calificados como deficientes, con containers mal etiquetados y sin educación ambiental formal (Diagnóstico Ambiental 2025).</t>
  </si>
  <si>
    <t>Espacios públicos creados/restaurados; Superficie de áreas verdes nuevas (m²); Participación comunitaria en diseño</t>
  </si>
  <si>
    <t>Déficit crítico de áreas verdes: 1.96 m²/hab</t>
  </si>
  <si>
    <t>15 espacios restaurados + 5 nuevos + meta 3.5 m²/hab</t>
  </si>
  <si>
    <t>40 espacios restaurados/nuevos + 6 m²/hab + sistema de mantención comunitaria</t>
  </si>
  <si>
    <t>SECPLAN + DOM + Depto. Medio Ambiente + Aseo y Ornato</t>
  </si>
  <si>
    <t>Municipal + MINVU + FNDR + GORE + CONAF</t>
  </si>
  <si>
    <t>Modernización Vial: Reconstrucción de Calles y Veredas</t>
  </si>
  <si>
    <t>Ejecutar plan integral de mejoramiento vial con reconstrucción de calles, veredas, accesibilidad universal, señalética y drenaje en sectores prioritarios de la comuna.</t>
  </si>
  <si>
    <t>La infraestructura vial deteriorada afecta movilidad para 65.786 hab. en una comuna con densidad de &gt;4.000 hab/km2 en casco urbano y &lt;30 hab/km2 en rural. El BIP destina $172 MM a transporte (15,6% de inversión) con 245 proyectos. La encuesta ciudadana califica calles y tránsito con 2,82/5 (puntaje más bajo). La cobertura de agua potable es 93,1% (18a de 33, promedio regional 87,3%) y alcantarillado 75,1% (urbano 82,3% vs rural 51,4%, brecha 30,9 pp). El déficit habitacional es 1.401 unidades (5,9%, no 28,8% como datos previos; Censo INE 2024).</t>
  </si>
  <si>
    <t>Kilómetros de calles reconstruidos; Veredas con accesibilidad universal; Inversión ejecutada</t>
  </si>
  <si>
    <t>Infraestructura vial con deterioro significativo en múltiples sectores</t>
  </si>
  <si>
    <t>20 km de calles reconstruidas + veredas accesibles en centro + drenaje</t>
  </si>
  <si>
    <t>60 km reconstruidos + 100% veredas accesibles + sistema de drenaje completo</t>
  </si>
  <si>
    <t>DOM + SECPLAN + Dirección Tránsito</t>
  </si>
  <si>
    <t>Municipal + MOP + SERVIU + FNDR + GORE</t>
  </si>
  <si>
    <t>ODS 9, 11</t>
  </si>
  <si>
    <t>Proceso de Vivienda Transparente"Postulación Transparente"</t>
  </si>
  <si>
    <t>Establecer una plataforma digital transparente para la gestión de postulaciones a vivienda social en Rengo, con criterios objetivos de priorización, seguimiento en línea del estado de cada expediente y rendición de cuentas pública a los postulantes, articulando la demanda habitacional con MINVU-SERVIU region.</t>
  </si>
  <si>
    <t>Con déficit habitacional de 5,9% (1.401 unidades; Censo INE 2024) y transparencia CPLT de 97,89%, el proceso de asignación debe ser objetivo. La Contraloría identificó gastos sin respaldo en 8 documentos y rendiciones deficientes durante 8 años consecutivos (CGR Informe N 894-17). La encuesta ciudadana (n=119) demanda transparencia municipal. El patrimonio municipal paso de -$1.460M (2012) a +$9.400M (2023, +$10.860M), y el déficit se compone de 1.245 viviendas con hacinamiento crítico, 264 irrecuperables y 524 allegados (Censo INE 2024; SINIM 2024).</t>
  </si>
  <si>
    <t>Postulaciones gestionadas en plataforma; Transparencia del proceso (%); Satisfacción de postulantes</t>
  </si>
  <si>
    <t>Proceso de postulación con baja digitalización y transparencia</t>
  </si>
  <si>
    <t>Plataforma digital operativa + criterios publicados + seguimiento en línea</t>
  </si>
  <si>
    <t>Sistema 100% transparente + auditoría externa + 0 reclamos por opacidad</t>
  </si>
  <si>
    <t>Depto. Vivienda + Informática + DIDECO</t>
  </si>
  <si>
    <t>Municipal + MINVU + SERVIU</t>
  </si>
  <si>
    <t>ODS 1, 11, 16</t>
  </si>
  <si>
    <t>Proyecto Espacio Bisquertt</t>
  </si>
  <si>
    <t>Desarrollar proyecto de regeneración urbana del Espacio Bisquertt como polo cultural, deportivo y comunitario, recuperando patrimonio arquitectónico e integrando equipamiento para la comunidad.</t>
  </si>
  <si>
    <t>El Espacio Bisquertt representa oportunidad de regeneración urbana en una comuna con solo 1,96 m2/hab de áreas verdes (OMS: 9-10 m2/hab) y cobertura vegetal urbana de 13,1% (Diagnóstico MBHT 2025). La medialuna y galpon están en deterioro crítico, y la ex estacion ferroviaria (integración 1865) tiene alto valor histórico. El presupuesto cultural es sólo 0,52% del gasto municipal, con gasto corriente de 84,57% limitando inversión. La encuesta ciudadana (n=119) revela 66% de identidad débil y el diagnóstico NNA (n=21) arroja 0% de evaluacion positiva de la comuna, haciendo urgente la recuperación de espacios emblemáticos que fortalezcan sentido de pertenencia para los 65.786 habitantes (Censo INE 2024; Encuesta ciudadana n=119).</t>
  </si>
  <si>
    <t>Avance del proyecto (diseño/construcción); Superficie habilitada; Usuarios y actividades realizadas</t>
  </si>
  <si>
    <t>Espacio Bisquertt subutilizado sin proyecto de regeneración</t>
  </si>
  <si>
    <t>Diseño participativo aprobado + inicio de obras de primera etapa</t>
  </si>
  <si>
    <t>Espacio Bisquertt completamente habilitado + programación cultural/deportiva permanente</t>
  </si>
  <si>
    <t>SECPLAN + DOM + Depto. Cultura + Depto. Deportes</t>
  </si>
  <si>
    <t>Municipal + MINVU + CNCA + FNDR + GORE + MINDEP</t>
  </si>
  <si>
    <t>ODS 11, 16</t>
  </si>
  <si>
    <t>Regularización de Propiedades"Seguridad Jurídica"</t>
  </si>
  <si>
    <t>Ejecutar un programa de regularizacion de titulos de dominio y saneamiento de propiedades para familias de Rengo que habitan viviendas sin escritura, coordinando con Bienes Nacionales y SERVIU para otorgar seguridad jurídica patrimonial y desbloquear el acceso a subsidios habitacionales y crediticios.</t>
  </si>
  <si>
    <t>Muchas familias habitan viviendas sin título regularizado: el déficit habitacional de 5,9% (1.401 unidades) incluye propiedades informales. La expansión periférica con loteos discontinuos (décadas 1970-1990) y vacíos urbanos persisten. La regularización permite acceder a subsidios MINVU en una comuna con 5,4% de pobreza. La cobertura de agua potable es 93,1% (18a de 33, promedio regional 87,3%) y alcantarillado 75,1% (urbano 82,3% vs rural 51,4%, brecha 30,9 pp). El déficit habitacional es 1.401 unidades (5,9%, no 28,8% como datos previos; Censo INE 2024).</t>
  </si>
  <si>
    <t>Propiedades regularizadas; Familias con título de dominio; Trámites de regularización gestionados</t>
  </si>
  <si>
    <t>Número significativo de propiedades sin regularizar</t>
  </si>
  <si>
    <t>300 propiedades regularizadas + convenio con Bienes Nacionales</t>
  </si>
  <si>
    <t>1,000 propiedades regularizadas + 100% catastro comunal + programa permanente</t>
  </si>
  <si>
    <t>Depto. Vivienda + Jurídica + DIDECO</t>
  </si>
  <si>
    <t>Municipal + Bienes Nacionales + SERVIU + CBR</t>
  </si>
  <si>
    <t>OE 4.2 Revitalizar Espacios Públicos y Equipamiento Comunal</t>
  </si>
  <si>
    <t>Feria Artesanal San Martín</t>
  </si>
  <si>
    <t>Establecer una feria artesanal permanente en el sector San Martín con infraestructura cubierta, servicios básicos y gestión asociativa para artesanos locales.</t>
  </si>
  <si>
    <t>Los artesanos de Rengo comercializan sin infraestructura formal; las 330 organizaciones comunitarias incluyen agrupaciones artesanales portadoras de saberes centenarios (fundación 1831). Las licitaciones municipales priorizan áreas verdes y parques (52 procesos, 5,2% de 1.000) pero sin espacios comerciales culturales asociados. La encuesta ciudadana (n=119) califica pérdida de identidad local como problema (29%) y cultura como prioridad PLADECO (41%). Los 3.813 habitantes de pueblos originarios (5,99%) aportan tradiciones artesanales que requieren espacios de comercialización conforme al ODS 11. El patrimonio municipal paso de -$1.460M (2012) a +$9.400M (2023, +$10.860M), con transparencia CPLT mejorando de 16,41% a 97,89%. Sin embargo, el gasto corriente de 84,57% y gasto en personal de 74,0% (sobre umbral CGR de 70%) limitan inversión (SINIM 2024).</t>
  </si>
  <si>
    <t>Artesanos participantes; Ingresos por ventas; Satisfacción de artesanos y visitantes</t>
  </si>
  <si>
    <t>Feria informal sin infraestructura</t>
  </si>
  <si>
    <t>1 feria permanente; 30 artesanos; infraestructura básica</t>
  </si>
  <si>
    <t>1 feria consolidada; 50 artesanos; $60M ventas/año</t>
  </si>
  <si>
    <t>DIDECO + DOM</t>
  </si>
  <si>
    <t>Municipal + SERCOTEC + CNCA</t>
  </si>
  <si>
    <t>ODS 1, 8, 11</t>
  </si>
  <si>
    <t>Mejora Servicios Públicos Básicos</t>
  </si>
  <si>
    <t>Instalar y mejorar baños públicos en puntos estratégicos de Rengo y Rosario con diseño accesible, mantenimiento regular y estándares sanitarios.</t>
  </si>
  <si>
    <t>La ausencia de baños públicos adecuados afecta a los 65.786 habitantes y visitantes; el diagnóstico de espacio público (57+ puntos georreferenciados) identifica déficit de mobiliario urbano generalizado. Los 7.256 PcD (12,1%) requieren baños accesibles conforme a la Ley 20.422, y 88 personas en situación de calle necesitan servicios sanitarios básicos. Las plazas y parques reciben calificación de 2,94/5 en encuesta ciudadana, parcialmente por falta de servicios. La vulnerabilidad FONASA A+B del 62,5% correlaciona con riesgo sanitario que los baños públicos mitigan conforme al ODS 6. El embalse del Rio Claro (10 M m3) y la Junta de Vigilancia (1.200 regantes, 74 años de funcionamiento) son infraestructura crítica. Las precipitaciones proyectadas caen -14,4% al 2050 y la sequía estival aumenta de 39,9% a 54,3% al 2065 (Diagnóstico Climático 2025).</t>
  </si>
  <si>
    <t>Baños públicos instalados/mejorados; Satisfacción de usuarios; Cumplimiento mantenimiento</t>
  </si>
  <si>
    <t>Baños públicos insuficientes y deteriorados</t>
  </si>
  <si>
    <t>5 baños mejorados/nuevos; protocolo mantenimiento</t>
  </si>
  <si>
    <t>15 baños operativos; 100% accesibles; 90% satisfacción</t>
  </si>
  <si>
    <t>Municipal + FNDR</t>
  </si>
  <si>
    <t>ODS 6, 11, 3</t>
  </si>
  <si>
    <t>Programa Municipal Arte Espacios Públicos</t>
  </si>
  <si>
    <t>Desarrollar un programa de arte comunitario en espacios públicos de Rengo, Rosario y localidades rurales, con murales participativos, esculturas de artistas locales, intervenciones artísticas temporales y mobiliario urbano creativo que eleve la calidad estética del entorno y fortalezca la identidad cultural comunal.</t>
  </si>
  <si>
    <t>La encuesta NNA (n=21) arroja 0% de evaluación positiva de la comuna y 24% reporta violencia escolar recurrente, mientras el arte comunitario puede transformar espacios degradados. Las áreas verdes de 1,96 m2/hab con 50% de plazas periféricas con suelo expuesto y sitios eriazos entre Ruta 5 y línea férrea son puntos críticos de inseguridad. El presupuesto cultural es apenas 0,52% del gasto municipal, contrastando con 41% de menciones de cultura como prioridad ciudadana (n=119). La identidad débil percibida por 66% requiere intervenciones artísticas que fortalezcan el sentido de pertenencia conforme al ODS 11. Los delitos de armas crecieron 308% (de 13 a 53 casos), complementando el aumento en vida (+126%), drogas (+440%) y robos violentos (+107%). Los adultos mayores víctimas 65+ crecieron +554% en vida y +567% en robos, siendo grupo más vulnerable (Carabineros 2024).</t>
  </si>
  <si>
    <t>Proyectos de arte público ejecutados; Participación de artistas y comunidad; Percepción de mejora urbana</t>
  </si>
  <si>
    <t>0 programas de arte público municipal</t>
  </si>
  <si>
    <t>5 proyectos; 20 artistas; 3 barrios intervenidos</t>
  </si>
  <si>
    <t>20 proyectos; 50 artistas; 10 barrios; 80% percepción mejora</t>
  </si>
  <si>
    <t>DIDECO + SECPLAN</t>
  </si>
  <si>
    <t>Municipal + CNCA + Fondart + FNDR</t>
  </si>
  <si>
    <t>ODS 11, 4, 16</t>
  </si>
  <si>
    <t>Remodelación Plazas "+Verde +Recreativo"</t>
  </si>
  <si>
    <t>Transformar plazas y espacios públicos con diseño paisajístico, limpieza, equipamiento recreativo, iluminación LED y accesibilidad universal, creando puntos de encuentro comunitario.</t>
  </si>
  <si>
    <t>Las áreas verdes de 1,96 m2/hab están muy por debajo del estándar OMS de 9-10 m2/hab, con 60% de césped amarillento, 50% de plazas periféricas sin cobertura vegetal y 70% sin riego tecnificado. La encuesta NNA (n=21) arroja 0% de evaluación positiva y la encuesta ciudadana califica plazas con 2,94/5, evidenciando insatisfacción transversal. La temperatura puede variar hasta 20°C entre superficies al sol y bajo arbolado, afectando la salud de los 10.528 pacientes crónicos del PSCV. El 80% de especies son exóticas, requiriendo diseño con flora nativa conforme al ODS 11 y la Ley 18.695 art. 4 letra c. La red de salud realiza 91.606 consultas medicas APS (3a regional, promedio 43.894) y 520.000 prestaciones anuales (+176% desde 2012). Los ESPA alcanzan 4.535 (+152% sobre promedio regional), demostrando capacidad de atención que requiere consolidación (SINIM 2024).</t>
  </si>
  <si>
    <t>Plazas remodeladas; Satisfacción vecinal; Tasa de utilización</t>
  </si>
  <si>
    <t>Plazas con deterioro y escaso equipamiento</t>
  </si>
  <si>
    <t>5 plazas remodeladas; 80% satisfacción</t>
  </si>
  <si>
    <t>15 plazas; 90% satisfacción; 100% con accesibilidad universal</t>
  </si>
  <si>
    <t>ODS 11, 3, 10</t>
  </si>
  <si>
    <t>Rengo Ciudad Inclusiva</t>
  </si>
  <si>
    <t>Ejecutar un programa integral de accesibilidad urbana en Rengo que beneficie a las 7.256 personas con discapacidad, instalando rampas normadas, cruces peatonales con semáforos sonoros, señalética braille e inclusiva, espacios universalmente accesibles y mobiliario urbano adaptado en el centro cívico y plazas principales.</t>
  </si>
  <si>
    <t>Los 7.256 PcD (12,1%) enfrentan barreras de accesibilidad: el diagnóstico de espacio público (57+ puntos georreferenciados) identifica déficit de mobiliario urbano y mantención deficiente en plazas periféricas. El ranking SUBDERE ubicó a Rengo en puesto 11 de 33, con logro de 58,4% qué debe mejorar incorporando estándares de inclusión conforme a la Ley 20.422. La vulnerabilidad en salud alcanza 62,5% (FONASA A+B) y los 8.796 adultos mayores (IE=72,1) requieren accesibilidad progresiva. La Ley 20.422 sobre igualdad de oportunidades e inclusión y el ODS 10 fundamentan la inversión. La red de salud realiza 91.606 consultas medicas APS (3a regional, promedio 43.894) y 520.000 prestaciones anuales (+176% desde 2012). Los ESPA alcanzan 4.535 (+152% sobre promedio regional), demostrando capacidad de atención que requiere consolidación (SINIM 2024).</t>
  </si>
  <si>
    <t>Rampas y cruces adaptados; Espacios inclusivos creados; Satisfacción de PcD</t>
  </si>
  <si>
    <t>Accesibilidad urbana deficiente</t>
  </si>
  <si>
    <t>50 rampas; 10 cruces adaptados; 5 espacios inclusivos</t>
  </si>
  <si>
    <t>200 rampas; 40 cruces; 100% centro accesible; 85% satisfacción PcD</t>
  </si>
  <si>
    <t>FNDR + SENADIS + MINVU + Municipal</t>
  </si>
  <si>
    <t>ODS 10, 11, 3</t>
  </si>
  <si>
    <t>Revitalización Mercado y Rodoviario</t>
  </si>
  <si>
    <t>Revitalizar el mercado municipal y terminal rodoviario de Rengo, integrando tradición y modernidad con mejoras en infraestructura, servicios y experiencia de usuario.</t>
  </si>
  <si>
    <t>El mercado y rodoviario son hitos urbanos de Rengo con infraestructura deteriorada, similar al patrón de 57 puntos georreferenciados con espacios inconclusos y mantención deficiente. Las licitaciones de construcción y obras representan 6,9% (69 de 1.000 procesos) con tasa de éxito de solo 63%. La inversión SECPLA creció de $2.000M a $20.000M (2012-2023), mostrando capacidad financiera para proyectos emblemáticos. La revitalización beneficia a las 4.829 empresas y las 330 organizaciones comunitarias conforme al ODS 8 y la ERD O"Higgins 2024-2036. La estructura empresarial muestra 953 unidades en manufactura (1a regional, +256%), 834 en comercio (1a, +337%) y 714 en construcción (1a, +303%). Los 12.453 trabajadores en microempresas (78,3%) evidencian predominio de empleo en pequeña escala (SINIM 2024).</t>
  </si>
  <si>
    <t>Visitantes mensuales; Satisfacción de usuarios y comerciantes; Actividad económica generada</t>
  </si>
  <si>
    <t>Mercado y rodoviario con infraestructura deteriorada</t>
  </si>
  <si>
    <t>Proyecto de diseño; 20% avance obras</t>
  </si>
  <si>
    <t>100% revitalizado; 30% más visitantes; 85% satisfacción</t>
  </si>
  <si>
    <t>SECPLAN + DOM + DAF</t>
  </si>
  <si>
    <t>FNDR + GORE + Municipal + PPP</t>
  </si>
  <si>
    <t>ODS 8, 9, 11</t>
  </si>
  <si>
    <t>Sede UOH Ingeniería - Construcción Transparente</t>
  </si>
  <si>
    <t>Apoyar la construcción de la sede de Ingeniería de la Universidad de O"Higgins en Rengo con gestión municipal transparente, coordinación interinstitucional y seguimiento comunitario.</t>
  </si>
  <si>
    <t>La construcción de sede UOH en Rengo es estratégica para elevar el acceso a educación superior (actualmente 39%, brecha estructural) en una comuna con escolaridad de 11,1 años. La transparencia municipal CPLT mejoró de 16,41% (2012) a 97,89% (2023), facilitando gestión transparente del proyecto ante la ciudadanía. El IDHC educativo creció de 0,55 a 0,72 y la sede puede acelerar esa trayectoria para los 65.786 habitantes. La Contraloría emitió 24 instrumentos de control con 3 derivaciones penales, exigiendo estándares de probidad en obras emblemáticas conforme al ODS 4. El retiro en educación media bajó a 1,51% (reduccion 69% desde 4,89% en 2009), evidenciando mejora en retención. La cobertura municipal recuperó de 64,32% (2011) a 75,41% (2024), mientras la matrícula total comunal creció 5,9% (de 12.752 a 13.510; SINIM 2024).</t>
  </si>
  <si>
    <t>Progreso de construcción (%); Transparencia en gestión; Cumplimiento de plazos</t>
  </si>
  <si>
    <t>Proyecto UOH en fase de planificación</t>
  </si>
  <si>
    <t>50% avance construcción; 100% transparencia</t>
  </si>
  <si>
    <t>100% construida; sede operativa; 1.000 estudiantes/año</t>
  </si>
  <si>
    <t>Alcaldía + SECPLAN</t>
  </si>
  <si>
    <t>MINEDUC + GORE + MOP + Municipal</t>
  </si>
  <si>
    <t>Zona Gastronómica Rengo "Conociendo los Sabores"</t>
  </si>
  <si>
    <t>Crear una zona gastronómica en el centro de Rengo con infraestructura adecuada, regulación sanitaria y promoción turística para emprendedores culinarios.</t>
  </si>
  <si>
    <t>Rengo posee tradición gastronómica campesina con 736 ha de viñas y 11.078 ha bajo riego, sustentando 4.541 unidades productivas agrícolas. La pobreza de 5,4% y multidimensional de 13,6% pueden reducirse con emprendimientos gastronómicos para una comuna con 4.829 empresas (1a en región). El BIP registra sólo 5 proyectos de turismo/comercio (0,4%) con inversión prácticamente nula sobre $1.101 MM totales. La ERD O"Higgins 2024-2036 promueve gastronomía como eje de identidad territorial, y la Ley 18.695 art. 4 letra f faculta fomento productivo local. La estructura empresarial muestra 953 unidades en manufactura (1a regional, +256%), 834 en comercio (1a, +337%) y 714 en construcción (1a, +303%). Los 12.453 trabajadores en microempresas (78,3%) evidencian predominio de empleo en pequeña escala (SINIM 2024).</t>
  </si>
  <si>
    <t>Establecimientos gastronómicos integrados; Turistas gastronómicos; Ingresos generados</t>
  </si>
  <si>
    <t>0 zonas gastronómicas formales</t>
  </si>
  <si>
    <t>1 zona; 15 establecimientos; 2.000 visitantes/mes</t>
  </si>
  <si>
    <t>1 zona consolidada; 25 establecimientos; 5.000 visitantes/mes</t>
  </si>
  <si>
    <t>SECPLAN + DOM + Oficina Turismo</t>
  </si>
  <si>
    <t>Municipal + SERCOTEC + FNDR</t>
  </si>
  <si>
    <t>Promoción de Recuperación de Espacios Públicos, Aseo y Ornato</t>
  </si>
  <si>
    <t>Diseñar y ejecutar un plan de recuperación de espacios públicos deteriorados en las 9 unidades vecinales urbanas de Rengo, incorporando mejoramiento de aseo y ornato, iluminación, mobiliario urbano, paisajismo con especies nativas y participación vecinal en el diseño, elevando los 1.96 m2/hab de área verde efectiva.</t>
  </si>
  <si>
    <t>Según Diagnóstico PLADECO 2025, el PRC de Rengo lleva 16 años sin actualizar, alcantarillado cubre 75,1%, areas verdes 1,96 m2/hab (norma OMS: 9 m2/hab), crisis hídrica proyecta déficit -30-35%, se registran 110 incendios forestales promedio y el PACCC estima 67,46 ktCO2e anuales. La superficie comunal de 592 km2 requiere planificación territorial actualizada. Las áreas verdes comunales alcanzan solo 1,96 m2/hab versus la norma OMS de 9 m2/hab, con déficit crítico de espacios públicos.</t>
  </si>
  <si>
    <t>M2 de espacios públicos recuperados; Indice satisfacción ciudadana; Intervenciones realizadas</t>
  </si>
  <si>
    <t>Zona Gastronómica Rosario "Sabores Rosarinos"</t>
  </si>
  <si>
    <t>Crear una zona gastronómica en Rosario que ponga en valor la cocina tradicional local, con infraestructura adecuada y promoción turística.</t>
  </si>
  <si>
    <t>Rosario posee tradición gastronómica diferenciada y es el segundo centro urbano con 4.696 habitantes en una comuna con identidad débil percibida por 66% de los encuestados. La descentralización es prioridad: el BIP destina sólo $8 MM a Rosario vs $960 MM a Rengo Centro (87,2%), evidenciando inequidad territorial. La encuesta funcionaria (n=116) reconoce la brecha territorial como problema en 82% de los casos, y las 330 organizaciones comunitarias incluyen agrupaciones gastronómicas. La ERD O"Higgins 2024-2036 promueve identidad territorial como eje de desarrollo conforme al ODS 8. El COSOC reporta limitaciones estructurales: requerimientos sin retroalimentación y carencia de reconocimiento. La disposición a participar es 49% afirmativa y 43% condicional, con 57% de ciudadanía perteneciendo a alguna agrupación (Encuesta ciudadana n=119; Etnografía Social 2025).</t>
  </si>
  <si>
    <t>Visitantes mensuales; Establecimientos gastronómicos; Impacto económico local</t>
  </si>
  <si>
    <t>0 zonas gastronómicas en Rosario</t>
  </si>
  <si>
    <t>1 zona; 10 establecimientos</t>
  </si>
  <si>
    <t>1 zona consolidada; 20 establecimientos; 3.000 visitantes/mes</t>
  </si>
  <si>
    <t>Estudio, Planificación, Diseño y Ejecución de Cruces Peatonales en Establecimientos educacionales y/o zonas con alta tasa de movilidad peatonal</t>
  </si>
  <si>
    <t>Realizar el estudio, planificación, diseño y ejecución de cruces peatonales seguros en los entornos de los 32 establecimientos educacionales y zonas de alta movilidad peatonal de Rengo, con demarcación horizontal, semaforización, reductores de velocidad y señalética preventiva que proteja a estudiantes y peatones.</t>
  </si>
  <si>
    <t>OE 4.3 Desarrollar red de ciclovías y promover movilidad sustentable</t>
  </si>
  <si>
    <t>Parque Urbano Las Delicias (Rosario)</t>
  </si>
  <si>
    <t>Estudiar el diseño el Parque Urbano Las Delicias en sector Rosario, como espacio de recreación, deporte, áreas verdes, juegos infantiles y encuentro comunitario con diseño inclusivo y sostenible.</t>
  </si>
  <si>
    <t>Con solo 1,96 m2/hab de áreas verdes (OMS: 9-10 m2/hab) y Rosario como segundo centro urbano (4.696 hab.), nuevos parques son urgentes. El BIP concentra 87,2% de inversión en Rengo Centro; Rosario tiene solo 72 proyectos ($8 MM). Las plazas y parques reciben calificación de 2,94/5 en encuesta ciudadana. El 35,3% de hogares usan leña como combustible principal (Censo 2024) y la cobertura vegetal urbana es solo 13,1% (vs 82,0% rural). Los centros de reciclaje son calificados como deficientes, con containers mal etiquetados y sin educación ambiental formal (Diagnóstico Ambiental 2025).</t>
  </si>
  <si>
    <t>Avance de diseño y factibilidad; Superficie de área verde (m²); Usuarios del parque</t>
  </si>
  <si>
    <t>Terreno disponible sin proyecto de parque</t>
  </si>
  <si>
    <t>Diseño aprobado + inicio de construcción + primera etapa habilitada</t>
  </si>
  <si>
    <t>Parque completo operativo + equipamiento deportivo + áreas verdes consolidadas</t>
  </si>
  <si>
    <t>Municipal + MINVU + FNDR + GORE + MINDEP</t>
  </si>
  <si>
    <t>Red de Transporte Público y Movilidad Sustentable</t>
  </si>
  <si>
    <t>Gestionar mejoramiento del transporte público comunal con nuevas rutas, frecuencias, paraderos accesibles, ciclovías y promoción de movilidad sustentable conectando localidades con centro urbano.</t>
  </si>
  <si>
    <t>La conectividad territorial es esencial: Rengo tiene 65.786 hab. dispersos con 14,6% de ruralidad y 0 km de ciclovías formales. El transporte público es insuficiente con empresas GALVUS y SERVIBUS entrevistadas y 6 líneas de colectivos. La encuesta ciudadana califica calles/tránsito con 2,82/5 y los 7.256 PcD requieren accesibilidad. La estructura empresarial muestra 953 unidades en manufactura (1a regional, +256%), 834 en comercio (1a, +337%) y 714 en construcción (1a, +303%). Los 12.453 trabajadores en microempresas (78,3%) evidencian predominio de empleo en pequeña escala (SINIM 2024).</t>
  </si>
  <si>
    <t>Rutas de transporte público; Ciclovías construidas (km); Paraderos accesibles; Frecuencia de servicios</t>
  </si>
  <si>
    <t>Transporte público insuficiente + 0 km de ciclovías formales</t>
  </si>
  <si>
    <t>3 nuevas rutas + 5 km ciclovías + paraderos accesibles en centro</t>
  </si>
  <si>
    <t>Red integrada de transporte + 20 km ciclovías + movilidad eléctrica + 100% paraderos accesibles</t>
  </si>
  <si>
    <t>Dirección Tránsito + SECPLAN + DOM</t>
  </si>
  <si>
    <t>Municipal + MTT + DTPR + FNDR + GORE</t>
  </si>
  <si>
    <t>OE 4.3 Movilidad urbana sustentable</t>
  </si>
  <si>
    <t>Mitigación Climática</t>
  </si>
  <si>
    <t>Plan Comunal de Movilidad Sustentable y Baja en Carbono</t>
  </si>
  <si>
    <t>Diseñar e implementar plan de movilidad que priorice transporte público eléctrico, movilidad activa e infraestructura ciclo-inclusiva.</t>
  </si>
  <si>
    <t>El PACCC identifica el transporte como segundo emisor más importante de Cachapoal. Dependencia de transporte privado y público a combustión. Trama vial de baja capacidad para flujos intra e intercomunales. Parque Solar Rengo (9.000 paneles bifaciales, 8,09 MWp) genera 17 GWh/año con potencial de electrificación. Las emisiones de energía estacionaria son 67,46 ktCO2e (Alcance 1), primer emisor comunal.</t>
  </si>
  <si>
    <t>Plan de Movilidad aprobado; km ciclovías; % flota pública electrica</t>
  </si>
  <si>
    <t>Sin plan de movilidad sustentable; dependencia vehículo privado</t>
  </si>
  <si>
    <t>Plan aprobado + 5 km ciclovías</t>
  </si>
  <si>
    <t>15 km ciclovías + inicio electrificación flota</t>
  </si>
  <si>
    <t>Tránsito + SECPLAN + DOM</t>
  </si>
  <si>
    <t>Municipal + MTT + GORE + FNDR</t>
  </si>
  <si>
    <t>ODS 11, 13</t>
  </si>
  <si>
    <t>OE 4.3 Promover el Desarrollo Rural y la Sostenibilidad Ambiental</t>
  </si>
  <si>
    <t>Desarrollo Rural Integral "Rengo Apoya al Mundo Rural"</t>
  </si>
  <si>
    <t>Ejecutar un programa de desarrollo rural integral que mejore caminos vecinales, conectividad digital, acceso a agua potable y servicios básicos en las 12 unidades vecinales rurales de Rengo, articulando inversiones de SUBDERE, MOP e INDAP con las prioridades levantadas en la etnografía territorial del PLADECO.</t>
  </si>
  <si>
    <t>El 23% de la población comunal carece de alcantarillado (cobertura 77%) y la demanda hídrica es 220,8 hm3/año (95,3% para riego), con precipitaciones disminuidas 30-35%. Los distritos rurales como Chanqueahue (232,5 km2) y Popeta (142,9 km2) tienen &lt;30 hab/km2 con servicios limitados. La inversión rural del BIP es solo $113 MM (11,5% de $1.101 MM total), mientras Rengo Centro concentra 87,2% ($960 MM). La proyección climática indica -111 mm de precipitación al 2050, exigiendo infraestructura hídrica resiliente conforme a la Ley 18.695 art. 4 letra a y el ODS 6. La cobertura de agua potable es 93,1% (18a de 33, promedio regional 87,3%) y alcantarillado 75,1% (urbano 82,3% vs rural 51,4%, brecha 30,9 pp). El déficit habitacional es 1.401 unidades (5,9%, no 28,8% como datos previos; Censo INE 2024).</t>
  </si>
  <si>
    <t>Proyectos rurales ejecutados; Mejora en calidad de vida rural; Servicios básicos ampliados</t>
  </si>
  <si>
    <t>Sector rural con carencias de servicios básicos</t>
  </si>
  <si>
    <t>5 proyectos rurales; 500 familias beneficiadas</t>
  </si>
  <si>
    <t>15 proyectos; 2.000 familias; 95% agua potable; 90% alcantarillado</t>
  </si>
  <si>
    <t>SECPLAN + DOM + DIDECO</t>
  </si>
  <si>
    <t>FNDR + MOP + SUBDERE + INDAP + Municipal</t>
  </si>
  <si>
    <t>ODS 6, 9, 11</t>
  </si>
  <si>
    <t>Modernización Alumbrado LED</t>
  </si>
  <si>
    <t>Reemplazar el alumbrado público convencional por tecnología LED de alta eficiencia en toda la comuna, reduciendo consumo energético y mejorando la seguridad nocturna.</t>
  </si>
  <si>
    <t>La encuesta ciudadana (n=119) califica iluminación pública con 2,87/5 y seguridad del sector con 2,83/5, mientras la encuesta NNA reporta 24% de falta de iluminación como factor de inseguridad. Los 110 incendios forestales (2010-2018) y 5.620 casos totales de seguridad (incluidos 1.703 DMCS) evidencian necesidad de iluminación preventiva. El presupuesto municipal destina 84,57% a gasto corriente, requiriendo optimizar eficiencia energética con irradiancia solar de 5,3 kWh/m2/día. La Ley 18.695 art. 4 letra a y el ODS 7 fundamentan modernización del alumbrado público. Los delitos de armas crecieron 308% (de 13 a 53 casos), complementando el aumento en vida (+126%), drogas (+440%) y robos violentos (+107%). Los adultos mayores víctimas 65+ crecieron +554% en vida y +567% en robos, siendo grupo más vulnerable (Carabineros 2024).</t>
  </si>
  <si>
    <t>Luminarias LED instaladas; Reducción consumo energético (%); Mejora percepción de seguridad</t>
  </si>
  <si>
    <t>Alumbrado convencional en mayoría de la comuna</t>
  </si>
  <si>
    <t>40% luminarias LED; 25% reducción consumo</t>
  </si>
  <si>
    <t>100% LED; 50% reducción consumo; 80% percepción seguridad mejorada</t>
  </si>
  <si>
    <t>FNDR + Ministerio Energía + Municipal</t>
  </si>
  <si>
    <t>ODS 7, 11, 13</t>
  </si>
  <si>
    <t>Reforestación y Corredores Verdes</t>
  </si>
  <si>
    <t>Ejecutar un programa de reforestación con especies nativas en zonas urbanas y rurales de la comuna, creando corredores verdes que conecten áreas naturales del Río Claro con parques urbanos, mejorando la biodiversidad comunal y contribuyendo a elevar los 1.96 m2/hab de áreas verdes en los 592 km2 del territorio.</t>
  </si>
  <si>
    <t>Las áreas verdes de 1,96 m2/hab están críticamente por debajo del estándar OMS de 9-10 m2/hab, con 80% de especies exóticas dominando el arbolado urbano regional. Las precipitaciones cayeron 30-35% degradando la cobertura vegetal, y 110 incendios forestales (2010-2018) afectaron 3.225 ha con 99,7% de origen antrópico. La superficie de bosque nativo es 19.340 ha (33% del territorio) con 99,68% de tipo esclerófilo amenazado. La contracción agrícola de 3.950 ha (-26%) exige corredores verdes compensatorios conforme al ODS 15 y la ERD O"Higgins 2024-2036. El embalse del Rio Claro (10 M m3) y la Junta de Vigilancia (1.200 regantes, 74 años de funcionamiento) son infraestructura crítica. Las precipitaciones proyectadas caen -14,4% al 2050 y la sequía estival aumenta de 39,9% a 54,3% al 2065 (Diagnóstico Climático 2025). La cobertura vegetal urbana es de solo 13,1% (vs 82,0% rural), con 80% de especies arbóreas exóticas, requiriendo restauración con flora nativa. (Fuente: SINIM 2024; Diagnóstico PRC 2025; MBHT-MINVU)</t>
  </si>
  <si>
    <t>Árboles plantados; Corredores verdes creados (km); Participación comunitaria en reforestación</t>
  </si>
  <si>
    <t>1,96 m²/hab áreas verdes; cobertura vegetal degradada</t>
  </si>
  <si>
    <t>5.000 árboles; 3 corredores; 3 m²/hab</t>
  </si>
  <si>
    <t>20.000 árboles; 8 corredores; 5 m²/hab; biodiversidad +30%</t>
  </si>
  <si>
    <t>CONAF + Ministerio Medio Ambiente + FNDR + Municipal</t>
  </si>
  <si>
    <t>ODS 13, 15, 11</t>
  </si>
  <si>
    <t>Rengo Verde y Limpio: Energías Renovables</t>
  </si>
  <si>
    <t>Diseñar un plan de sostenibilidad ambiental que incorpore paneles solares en edificios públicos municipales, puntos limpios de reciclaje en las 21 unidades vecinales, programas de compostaje comunitario y medición de huella de carbono institucional, posicionando a Rengo como comuna comprometida con la transición energética.</t>
  </si>
  <si>
    <t>Las precipitaciones cayeron 30-35% respecto a la década de 1970, y se proyecta un aumento de +2,2°C en temperatura estival al 2050 con -111 mm de precipitación. La irradiancia solar de 5,3 kWh/m2/día ofrece alta potencialidad fotovoltaica para edificios municipales con 939 funcionarios. Las áreas verdes de 1,96 m2/hab y 80% de especies exóticas requieren estrategias ambientales integrales. El gasto corriente de 84,57% demanda eficiencia energética que reduzca costos operativos, conforme al ODS 7 y el eje ambiental de la ERD O"Higgins 2024-2036. El patrimonio municipal paso de -$1.460M (2012) a +$9.400M (2023, +$10.860M), con transparencia CPLT mejorando de 16,41% a 97,89%. Sin embargo, el gasto corriente de 84,57% y gasto en personal de 74,0% (sobre umbral CGR de 70%) limitan inversión (SINIM 2024).</t>
  </si>
  <si>
    <t>Energía renovable instalada (kW); Residuos reciclados (%); Puntos de reciclaje habilitados</t>
  </si>
  <si>
    <t>0 kW solar en edificios municipales; reciclaje informal</t>
  </si>
  <si>
    <t>50 kW solar; 15% reciclaje; 10 puntos limpios</t>
  </si>
  <si>
    <t>200 kW solar; 30% reciclaje; 25 puntos limpios; huella carbono -20%</t>
  </si>
  <si>
    <t>FNDR + Ministerio Energía + Ministerio Medio Ambiente + Municipal</t>
  </si>
  <si>
    <t>ODS 7, 12, 13</t>
  </si>
  <si>
    <t>OE 4.3 Red Ciclovías Comunal</t>
  </si>
  <si>
    <t>Infraestructura y MA</t>
  </si>
  <si>
    <t>Mejoramiento y Modernización de Paraderos en Ruta 5 Sur y Ejes Viales</t>
  </si>
  <si>
    <t>Modernizar paraderos de transporte público en Ruta 5 Sur y ejes H-50/H-60 con diseño estandarizado, iluminación solar, paneles informativos, bancas ergonómicas, accesibilidad universal y protección climática.</t>
  </si>
  <si>
    <t>Diagnóstico geoespacial: 6 paraderos rurales estado Regular con graffiti, vandalismo, diseños inconsistentes, sin información recorridos. Ruta 5 Sur: eje estructurante (114 km Santiago, 23 km Rancagua). Accidentes históricos en cruces: 1952, 1973, 1999. GALVUS, SERVIBUS + 6 lineas colectivos con brechas post-pandemia. (Fuente: Diagnóstico Geoespacial 2025; Etnografía Social 2025)</t>
  </si>
  <si>
    <t>N paraderos modernizados; satisfacción usuarios; accesibilidad</t>
  </si>
  <si>
    <t>6 paraderos rurales estado Regular</t>
  </si>
  <si>
    <t>15 paraderos modernizados Ruta 5 y H-50</t>
  </si>
  <si>
    <t>30 paraderos + info tiempo real</t>
  </si>
  <si>
    <t>DOM + Dir. Transito</t>
  </si>
  <si>
    <t>FNDR + MTT + Municipal</t>
  </si>
  <si>
    <t>Plan de Seguridad Vial en Cruces Críticos de Ruta 5</t>
  </si>
  <si>
    <t>Diseñar e instalar pasarelas peatonales, semaforización inteligente, iluminación LED, reductores de velocidad y señalética preventiva en los cruces críticos donde la Ruta 5 Sur intersecta la trama urbana de Rengo, reduciendo la siniestralidad vial y protegiendo a ciclistas y peatones del sector.</t>
  </si>
  <si>
    <t>Tragedias históricas en cruces Ruta 5: 1952 (tren-bus cruce Riquelme), 1973 (bus-ambulancia puente Mendoza), 1999 (bus escolar-camión). Delitos vida +126% (2005-2024). PRC 16 años sin actualizar. Inseguridad: 70% problema principal (n=119). Ruta 5 cruce casco urbano generando conflictos vehículo-peatón. (Fuente: FUENTE DE INFO PLADECO; Carabineros/CEAD 2024; Diagnóstico PRC)</t>
  </si>
  <si>
    <t>N cruces intervenidos; reducción accidentes %; pasarelas</t>
  </si>
  <si>
    <t>Cruces críticos sin intervencion sistematica</t>
  </si>
  <si>
    <t>5 cruces intervenidos + 2 pasarelas</t>
  </si>
  <si>
    <t>10 cruces + semaforización inteligente</t>
  </si>
  <si>
    <t>FNDR + MOP + Municipal</t>
  </si>
  <si>
    <t>Rutas Inter-Urbanas: Conectividad Vial Rengo-Rosario-Esmeralda</t>
  </si>
  <si>
    <t>Sistema de rutas inter-urbanas que conecte los 3 centros urbanos (Rengo 42.238, Rosario 12.000, Esmeralda 3.391) y localidades rurales, mejorando vialidad, señalización, iluminación y seguridad en ejes H-50, H-60 y caminos secundarios.</t>
  </si>
  <si>
    <t>Sistema policéntrico con 3 centros + 22% rural disperso. Ruta H-50 requiere modernización. BIP: 245 proyectos Transporte (20,7%, $172 MM). Metrotren (2021, ~90 min Santiago) necesita alimentación vial. Brecha accesibilidad: 0,582 urbano vs 0,356 rural. (Fuente: BIP/SNI 2025; SINIM 2024; MBHT-MINVU; Censo INE 2024)</t>
  </si>
  <si>
    <t>Km rutas mejoradas; reducción tiempo desplazamiento; accidentes</t>
  </si>
  <si>
    <t>Rutas sin plan integrado</t>
  </si>
  <si>
    <t>20 km mejoradas + señalización</t>
  </si>
  <si>
    <t>50 km + sistema transporte multimodal</t>
  </si>
  <si>
    <t>DOM + Dir. Transito + SECPLAN</t>
  </si>
  <si>
    <t>FNDR + MOP + MTT + Municipal</t>
  </si>
  <si>
    <t>Estudio y Planificación para Mejoramientos en Sistemas de Agua Potable (Servicio Sanitario Rural) en zonas con déficit hídrico y/o necesidad</t>
  </si>
  <si>
    <t>Elaborar un estudio técnico y plan de mejoramiento de los sistemas de agua potable rural (Servicios Sanitarios Rurales) en las localidades de la comuna con déficit hídrico, evaluando capacidad de captación, almacenamiento y distribución para garantizar el abastecimiento seguro en las 12 unidades vecinales rurales.</t>
  </si>
  <si>
    <t>Según Diagnóstico PLADECO 2025, el PRC de Rengo lleva 16 años sin actualizar, alcantarillado cubre 75,1%, areas verdes 1,96 m2/hab (norma OMS: 9 m2/hab), crisis hídrica proyecta déficit -30-35%, se registran 110 incendios forestales promedio y el PACCC estima 67,46 ktCO2e anuales. La superficie comunal de 592 km2 requiere planificación territorial actualizada. La crisis hídrica proyecta déficit de -30-35% y el 24,9% de la población carece de alcantarillado, lo que justifica esta intervención.</t>
  </si>
  <si>
    <t>N de sistemas mejorados; Cobertura agua potable rural (%); Población beneficiada</t>
  </si>
  <si>
    <t>Estudio y Planificación Proyectos SAR / CESFAM en el Sector Esmeralda</t>
  </si>
  <si>
    <t>Desarrollar el estudio de factibilidad y planificación para la instalación de un SAR (Servicio de Atención Primaria de Urgencia Rural) y/o CESFAM en el sector Esmeralda, evaluando demanda sanitaria, localización óptima, dotación profesional y modelo de gestión que descomprima la red de salud actual de Rengo.</t>
  </si>
  <si>
    <t>Según Diagnóstico PLADECO 2025, el PRC de Rengo lleva 16 años sin actualizar, alcantarillado cubre 75,1%, areas verdes 1,96 m2/hab (norma OMS: 9 m2/hab), crisis hídrica proyecta déficit -30-35%, se registran 110 incendios forestales promedio y el PACCC estima 67,46 ktCO2e anuales. La superficie comunal de 592 km2 requiere planificación territorial actualizada. Con 10.528 pacientes PSCV y necesidad de infraestructura sanitaria rural, esta planificación es prioritaria para las 12 UV rurales.</t>
  </si>
  <si>
    <t>Estudios de factibilidad completados; Proyectos diseñados; Población beneficiada</t>
  </si>
  <si>
    <t>OE 4.5 Plan Riesgo Hídrico Río Claro</t>
  </si>
  <si>
    <t>R9: Ordenanza de Gestión de Riesgos y Emergencias</t>
  </si>
  <si>
    <t>Protocolos normativos ante sismos, inundaciones, sequías y eventos climáticos extremos (Ley 21.364).</t>
  </si>
  <si>
    <t>Sin plan gestion riesgos actualizado pese a Ley 21.364. Embalse 10 mill. m3. Crecidas sin plan mitigación. 80% viviendas dañadas terremoto 1985. 70% superficie inundada 1982. Precipitaciones proyectadas -14,4% al 2050.</t>
  </si>
  <si>
    <t>Ordenanza aprobada; protocolos</t>
  </si>
  <si>
    <t>Sin ordenanza emergencias</t>
  </si>
  <si>
    <t>Ordenanza + mapas riesgo + 2 simulacros</t>
  </si>
  <si>
    <t>4 simulacros/ano + actualización</t>
  </si>
  <si>
    <t>Protección Civil + DSP</t>
  </si>
  <si>
    <t>Municipal + SENAPRED</t>
  </si>
  <si>
    <t>Adaptacion Climatica</t>
  </si>
  <si>
    <t>Sistema Comunal de Alerta Temprana e Infraestructura Verde</t>
  </si>
  <si>
    <t>Desplegar un sistema comunal de alerta temprana que integre monitoreo hidrometeorológico en la cuenca del Río Claro, comunicación efectiva con la población, soluciones basadas en naturaleza para mitigación de inundaciones y franjas de amortiguación ribereña, conforme al plan de riesgo hídrico comunal.</t>
  </si>
  <si>
    <t>El PACCC identifica como brecha principal la inexistencia de un Sistema Comunal de Alerta Temprana (SAT). 10 inundaciones fluviales en O"Higgins en 4 años, incluyendo Rengo. Índice riesgo climático por incendios en bosque nativo de 0,3791 (aumentando). 6 decretos de escasez hídrica. 36,41% superficie con erosión. El PRD contempla alertas pero su monitoreo se orienta al riesgo, no a emisiones ni biodiversidad.</t>
  </si>
  <si>
    <t>SAT operativo; N SBN implementadas; km franjas ribereñas</t>
  </si>
  <si>
    <t>Sin SAT; sin SBN implementadas</t>
  </si>
  <si>
    <t>SAT disenado + 3 SBN piloto</t>
  </si>
  <si>
    <t>SAT operativo + 10 SBN + franjas ribereñas</t>
  </si>
  <si>
    <t>Protección Civil + Aseo y Ornato + SECPLAC</t>
  </si>
  <si>
    <t>Municipal + SENAPRED + MOP + GORE</t>
  </si>
  <si>
    <t>OE 4.6 Fortalecer gestión ambiental comunal y adaptación al cambio climático</t>
  </si>
  <si>
    <t>Hogares Eficientes: Rehabilitación Energética de Viviendas</t>
  </si>
  <si>
    <t>Ejecutar un programa de rehabilitación energética de viviendas existentes en Rengo con aislación térmica de muros y techumbre, recambio de calefactores a leña por equipos certificados, mejoramiento de envolvente térmica y educación en eficiencia energética, priorizando hogares vulnerables y zonas de saturación ambiental.</t>
  </si>
  <si>
    <t>La pobreza de 5,4% y viviendas con baja eficiencia térmica afectan calidad de vida, con temperatura invernal mínima hasta 2°C y heladas frecuentes en zonas rurales. La irradiancia solar de 5,3 kWh/m2/día ofrece potencial para energía renovable. El 84,57% del presupuesto es gasto corriente, requiriendo eficiencia energética. La cobertura de agua potable es 93,1% (18a de 33, promedio regional 87,3%) y alcantarillado 75,1% (urbano 82,3% vs rural 51,4%, brecha 30,9 pp). El déficit habitacional es 1.401 unidades (5,9%, no 28,8% como datos previos; Censo INE 2024).</t>
  </si>
  <si>
    <t>Viviendas rehabilitadas energéticamente; Reducción de consumo energético; Familias beneficiadas</t>
  </si>
  <si>
    <t>Programa de recambio de calefactores limitado</t>
  </si>
  <si>
    <t>500 viviendas rehabilitadas + programa de aislación térmica masivo</t>
  </si>
  <si>
    <t>2,000 viviendas + estándar de eficiencia energética comunal + energía renovable</t>
  </si>
  <si>
    <t>Depto. Vivienda + Dpto. Medio Ambiente + SECPLAN</t>
  </si>
  <si>
    <t>Municipal + MINVU + MMA + Ministerio Energía + GORE</t>
  </si>
  <si>
    <t>Programa de Rehabilitación Energética de Viviendas</t>
  </si>
  <si>
    <t>Ampliar programa de rehabilitación energética con enfoque en viviendas de familias vulnerables, integrando aislación, calefacción eficiente, paneles solares y educación en eficiencia energética.</t>
  </si>
  <si>
    <t>La pobreza energética afecta familias vulnerables (5,4% pobreza, 13,6% multidimensional). La temperatura invernal mínima alcanza 2°C con heladas frecuentes en zonas rurales (Popeta, Malambo, Lo de Lobo). La irradiancia solar de 5,3 kWh/m2/día permite rehabilitación con paneles solares. Rengo cuenta con 65.786 hab. (Censo INE 2024), 4.829 empresas (1a regional) y un BHT promedio de 0,537, con 44,9% de población en quintiles inferiores. La correlación socioeconómica-BHT (r=0,831) evidencia que las intervenciones sociales son el principal motor de bienestar territorial (Diagnóstico PLADECO 2025).</t>
  </si>
  <si>
    <t>Viviendas con rehabilitación energética completa; Ahorro energético promedio; Paneles solares instalados</t>
  </si>
  <si>
    <t>Intervenciones energéticas puntuales sin programa integral</t>
  </si>
  <si>
    <t>400 viviendas con rehabilitación integral + 100 paneles solares</t>
  </si>
  <si>
    <t>1,500 viviendas + comunidades energéticas + net billing comunal</t>
  </si>
  <si>
    <t>Municipal + Ministerio Energía + MMA + MINVU + GORE</t>
  </si>
  <si>
    <t>OE 4.6 Gestión ambiental integral</t>
  </si>
  <si>
    <t>Desarrollar Parque Natural y Recreativo Huilquio como espacio de conservación, recreación y educación ambiental en zona rural sur, con senderos interpretativos, áreas de picnic, infraestructura deportiva y protección de ecosistemas nativos.</t>
  </si>
  <si>
    <t>Huilquio: localidad rural con 24 proyectos BIP ($4 MM). Deficit areas verdes 1,96 m2/hab. 145 ha bosque nativo perdido. 35,3% hogares usan leña. Precipitaciones -30-35%. PACCC: 67,46 ktCO2e emisiones. ERD prioriza sustentabilidad (L5). El parque contribuiría a cerrar la brecha de m2/hab y a crear un corredor ecológico en el eje sur. (Fuente: BIP/SNI 2025; PACCC Rengo; DGA)</t>
  </si>
  <si>
    <t>Hectáreas parque; senderos km; visitantes/ano; especies protegidas</t>
  </si>
  <si>
    <t>Sin parque natural comunal</t>
  </si>
  <si>
    <t>Diseño aprobado + 20% construcción</t>
  </si>
  <si>
    <t>Parque operativo + 15.000 visitantes/año</t>
  </si>
  <si>
    <t>SECPLAN + Unidad MA (por crear)</t>
  </si>
  <si>
    <t>FNDR + MMA + Municipal + PPP</t>
  </si>
  <si>
    <t>OE 4.6 Planes gestión ambiental</t>
  </si>
  <si>
    <t>Gestión Climática</t>
  </si>
  <si>
    <t>Crear unidad formal con equipo técnico dedicado (coordinador + profesional de apoyo), presupuesto basal y dependencia de SECPLAN, como condición sine qua non del PACCC.</t>
  </si>
  <si>
    <t>El PACCC Rengo identifica la creación de la Unidad de CC como la decisión de mayor impacto político y presupuestario. Sin ella, los 7 lineamientos y 20+ medidas del PACCC carecen de tracción operativa. Es la condición de inicio del sistema MRV del PACCC y el indicador más fiable del compromiso institucional con la agenda climática. La LMCC (Ley 21.455) obliga a coherencia PACCC-PLADECO y actualización cuatrienal sincronizada.</t>
  </si>
  <si>
    <t>Unidad creada con dotación operativa; N medidas PACCC con avance verificado</t>
  </si>
  <si>
    <t>Sin Unidad de CC; PACCC sin tracción institucional</t>
  </si>
  <si>
    <t>Unidad creada + 3 medidas PACCC en ejecución</t>
  </si>
  <si>
    <t>Unidad consolidada + 70% medidas con avance</t>
  </si>
  <si>
    <t>SECPLAC + Alcaldía</t>
  </si>
  <si>
    <t>Municipal + GORE + MMA</t>
  </si>
  <si>
    <t>ODS 13, 17</t>
  </si>
  <si>
    <t>Plan Comunal de Seguridad Hídrica y Gobernanza del Agua</t>
  </si>
  <si>
    <t>Constituir Mesa Técnica de Agua que articule DGA, CNR, INDAP, Juntas de Vigilancia y OUA con el municipio para gobernanza hídrica comunal.</t>
  </si>
  <si>
    <t>Según el PACCC, la eficiencia hídrica es el objetivo de mayor urgencia diagnóstica. Río Claro es el principal curso; Rengo ha tenido 6 decretos de escasez hídrica desde 2006. Demanda de agua 220,8 hm3/año. Solo 92,4% saneamiento urbano con déficit rural crítico. 38% de UPAs con más de 20 ha. 439 ha humedales rurales. Pérdida de 145 ha bosque nativo (2001-2021). 2 SHAC, uno en Zona de Prohibición. Sin mecanismo de gobernanza comunal del agua.</t>
  </si>
  <si>
    <t>Mesa Técnica constituida; N predios con tecnologías eficientes; hectáreas con riego tecnificado</t>
  </si>
  <si>
    <t>Sin gobernanza hídrica comunal; 6 decretos escasez</t>
  </si>
  <si>
    <t>Mesa Técnica operativa + 50 predios con riego eficiente</t>
  </si>
  <si>
    <t>Modelo gobernanza hídrica consolidado + 200 predios</t>
  </si>
  <si>
    <t>SECPLAC + Aseo y Ornato + DGA</t>
  </si>
  <si>
    <t>Municipal + CNR + INDAP + GORE</t>
  </si>
  <si>
    <t>ODS 6, 13</t>
  </si>
  <si>
    <t>Programa de Eficiencia Energetica y Gestion de Residuos Circular</t>
  </si>
  <si>
    <t>Promover techos solares en edificios públicos, sistema comunal de reciclaje domiciliario fortalecido y evaluación de biodigestores para residuos agropecuarios.</t>
  </si>
  <si>
    <t>El PACCC reporta: sector energía estacionaria 67,46 ktCO2e (Alcance 1, primer emisor); sector residuos 25,04 ktCO2e (tercer emisor). La Ley REP provee marco financiero para reciclaje. Parque Solar Rengo evita ~4.890 tCO2/año. Centros de reciclaje convertidos en microbasurales según diagnóstico territorial. Gestión de residuos es competencia municipal directa (LOCM), de mayor viabilidad institucional.</t>
  </si>
  <si>
    <t>% reducción consumo eléctrico municipal; toneladas recicladas/ano; EN edificios con paneles solares</t>
  </si>
  <si>
    <t>Sin estrategia energética municipal; centros reciclaje en microbasurales</t>
  </si>
  <si>
    <t>3 edificios con paneles + 500 ton recicladas/año</t>
  </si>
  <si>
    <t>10 edificios + 2.000 ton + biodigestores evaluados</t>
  </si>
  <si>
    <t>Aseo y Ornato + DOM + SECPLAC</t>
  </si>
  <si>
    <t>Municipal + SEREMI Energía + Ley REP</t>
  </si>
  <si>
    <t>Programa de Restauración Ecológica y Protección del Bosque Esclerófilo</t>
  </si>
  <si>
    <t>Restaurar al menos 70% de áreas forestales incendiadas priorizando bosque esclerófilo, proteger humedales rurales y crear corredores biológicos.</t>
  </si>
  <si>
    <t>El PACCC documenta pérdida de 145 ha de bosque nativo entre 2001-2021 (7,2 ha/año). 36,41% de la superficie comunal presenta erosión moderada a muy severa. Rengo no cuenta con Áreas Silvestres Protegidas. La expansión de bosque nativo del 3,9% (2013-2025) sugiere regeneración espontánea con potencial como sumidero de carbono. El bosque esclerófilo es identificado en la visión PACCC como símbolo identitario de Rengo.</t>
  </si>
  <si>
    <t>% áreas incendiadas restauradas; hectáreas reforestadas; humedales protegidos</t>
  </si>
  <si>
    <t>Perdida 7,2 ha/año; 36,41% erosión; sin áreas protegidas</t>
  </si>
  <si>
    <t>30% restaurado + 2 humedales protegidos</t>
  </si>
  <si>
    <t>70% restaurado + corredores biológicos</t>
  </si>
  <si>
    <t>Aseo y Ornato + CONAF + SECPLAC</t>
  </si>
  <si>
    <t>Municipal + CONAF + MMA + FPA</t>
  </si>
  <si>
    <t>ODS 13, 15</t>
  </si>
  <si>
    <t>Eje 5: Seguridad Publica y Gestion de Riesgos y Emergencias</t>
  </si>
  <si>
    <t>OE 5.1 Aumentar la percepción de seguridad de NNA en espacios públicos</t>
  </si>
  <si>
    <t>Seguridad Pública Orden Público y Recuperación de Espacios Públicos</t>
  </si>
  <si>
    <t>Aplicación Móvil de Seguridad / SOSAFE</t>
  </si>
  <si>
    <t>Desplegar y masificar la aplicación móvil de seguridad ciudadana SOSAFE en las 21 unidades vecinales de Rengo, permitiendo a los 65.786 habitantes reportar delitos, emergencias y situaciones sospechosas en tiempo real con geolocalización, integrando las alertas a la central de monitoreo DSP y las 80 cámaras de televigilancia.</t>
  </si>
  <si>
    <t>La tecnología móvil permite democratizar seguridad para 65.786 habitantes con creciente conectividad. Los 5.620 casos totales de seguridad y la encuesta ciudadana con 70% de percepción de inseguridad justifican alertas en tiempo real. Las cámaras de televigilancia crecieron de 8 (2012) a 80 (2023). Con 91,4% de hogares con internet y 14.191 conexiones fijas (Censo 2024), la cobertura digital permite masificar alertas, aunque solo 11% de ciudadania usa tramites online frecuentemente (Encuesta ciudadana n=119).</t>
  </si>
  <si>
    <t>Usuarios registrados en app; Reportes generados; Tiempo de respuesta ante alertas</t>
  </si>
  <si>
    <t>Sin aplicación de seguridad ciudadana implementada</t>
  </si>
  <si>
    <t>App operativa + 10,000 usuarios registrados + integración con central de monitoreo</t>
  </si>
  <si>
    <t>20,000 usuarios + sistema predictivo + integración con Carabineros</t>
  </si>
  <si>
    <t>Dirección Seguridad Pública + Informática</t>
  </si>
  <si>
    <t>Municipal + SPD + FNDR</t>
  </si>
  <si>
    <t>ODS 9, 11, 16</t>
  </si>
  <si>
    <t>Campañas de Educación y Prevención del Delito</t>
  </si>
  <si>
    <t>Desarrollar campañas comunicacionales de prevención del delito, autocuidado, denuncia segura y cultura de paz, utilizando medios tradicionales, redes sociales y actividades comunitarias.</t>
  </si>
  <si>
    <t>Las infracciones a ley de drogas aumentaron 440% y la percepción de inseguridad NNA alcanza 38% por consumo de alcohol/drogas en entorno. La encuesta ciudadana (n=119) muestra 70% de percepción de inseguridad como principal problema. Las campañas preventivas son complemento necesario a los 5.620 casos anuales de seguridad. Los delitos de armas crecieron 308% (de 13 a 53 casos), complementando el aumento en vida (+126%), drogas (+440%) y robos violentos (+107%). Los adultos mayores víctimas 65+ crecieron +554% en vida y +567% en robos, siendo grupo más vulnerable (Carabineros 2024).</t>
  </si>
  <si>
    <t>Campañas realizadas; Alcance en redes sociales; Participantes en actividades presenciales</t>
  </si>
  <si>
    <t>Campañas esporádicas sin estrategia comunicacional integrada</t>
  </si>
  <si>
    <t>4 campañas anuales + presencia permanente en redes + talleres comunitarios</t>
  </si>
  <si>
    <t>Estrategia comunicacional integral + evaluación de impacto + cultura preventiva instalada</t>
  </si>
  <si>
    <t>Dirección Seguridad Pública + Comunicaciones</t>
  </si>
  <si>
    <t>Municipal + SPD + SENDA</t>
  </si>
  <si>
    <t>ODS 16</t>
  </si>
  <si>
    <t>Red Comunitaria"Rengo Yo Cuido Mi Barrio"</t>
  </si>
  <si>
    <t>Crear y fortalecer red de comités vecinales de seguridad ciudadana que articulen vigilancia comunitaria, comunicación con Carabineros y PDI, y prevención situacional en barrios de la comuna.</t>
  </si>
  <si>
    <t>La encuesta ciudadana (n=119) identifica inseguridad como principal problema (70%, 83 menciones) y las 330 organizaciones comunitarias activas proveen capital social articulable. Los 5.620 casos totales de seguridad incluyen 2.619 incivilidades (46,6%) y 1.703 DMCS (30,3%). La etnografía social con +50 entrevistas confirma inseguridad como preocupación transversal. Pese a que O"Higgins tiene tasa de crimen organizado de 52 por 100.000 (2a más baja del país vs 437 nacional), los delitos locales crecieron: vida +126%, drogas +440%, armas +308%. Solo 18-28% de víctimas denuncia según el MIPP (Carabineros 2024).</t>
  </si>
  <si>
    <t>Comités vecinales de seguridad activos; Reuniones mensuales de coordinación; Reducción de denuncias por sector</t>
  </si>
  <si>
    <t>Comités vecinales dispersos sin articulación formal</t>
  </si>
  <si>
    <t>30 comités activos + coordinación mensual con Carabineros</t>
  </si>
  <si>
    <t>60 comités + red digital de comunicación + reducción 20% denuncias</t>
  </si>
  <si>
    <t>Dirección Seguridad Pública + DIDECO</t>
  </si>
  <si>
    <t>Municipal + SPD + Carabineros + PDI</t>
  </si>
  <si>
    <t>Transformación Comunitaria: Recuperación de Espacios Públicos</t>
  </si>
  <si>
    <t>Recuperar y transformar espacios públicos deteriorados o abandonados mediante diseño urbano seguro (CPTED), iluminación, mobiliario, áreas verdes y apropiación comunitaria para prevención situacional.</t>
  </si>
  <si>
    <t>Con solo 1,96 m2/hab de áreas verdes y 50% de plazas periféricas con suelo expuesto, la recuperación de espacios es estrategia clave. La encuesta ciudadana (n=119) identifica inseguridad (70%) y contaminación/falta limpieza (41%) como principales problemas. Los sitios eriazos entre Ruta 5 y línea férrea son puntos críticos de inseguridad. Los delitos de armas crecieron 308% (de 13 a 53 casos), complementando el aumento en vida (+126%), drogas (+440%) y robos violentos (+107%). Los adultos mayores víctimas 65+ crecieron +554% en vida y +567% en robos, siendo grupo más vulnerable (Carabineros 2024).</t>
  </si>
  <si>
    <t>Espacios públicos recuperados; Superficie intervenida (m²); Percepción de seguridad en espacios recuperados</t>
  </si>
  <si>
    <t>Espacios públicos deteriorados sin estrategia CPTED</t>
  </si>
  <si>
    <t>10 espacios recuperados + iluminación LED en sectores críticos</t>
  </si>
  <si>
    <t>30 espacios recuperados + 100% sectores con iluminación + apropiación comunitaria</t>
  </si>
  <si>
    <t>Dirección Seguridad Pública + DOM + SECPLAN</t>
  </si>
  <si>
    <t>Municipal + SPD + FNDR + MINVU</t>
  </si>
  <si>
    <t>OE 5.2 Reducir la violencia intrafamiliar con enfoque integral de protección</t>
  </si>
  <si>
    <t>Centro de Atención Integral a Víctimas</t>
  </si>
  <si>
    <t>Crear centro de atención integral para víctimas de violencia intrafamiliar y delitos, ofreciendo apoyo psicológico, jurídico, social y acompañamiento en procesos de denuncia y reparación.</t>
  </si>
  <si>
    <t>La VIF registra 608 casos anuales con 78% contra mujeres (no 426 como datos previos), requiriendo dispositivo especializado. Los delitos contra la vida aumentaron 126% y las infracciones de drogas 440%. La encuesta ciudadana (n=119) prioriza seguridad con 63% de menciones (75 personas). El grupo etario más afectado en VIF es mujeres 30-44 años (175 casos, 28,7%). Los 22 niños &lt;14 y 14 adolescentes 14-17 afectados evidencian impacto intergeneracional. Segun MIPP, solo 18-28% de victimas denuncia, sugiriendo prevalencia real 3-5 veces mayor (Carabineros 2024; MIPP).</t>
  </si>
  <si>
    <t>Víctimas atendidas integralmente; Tiempo promedio de respuesta; Tasa de seguimiento de casos</t>
  </si>
  <si>
    <t>Atención fragmentada en distintas reparticiones sin centro integrado</t>
  </si>
  <si>
    <t>1 centro operativo + equipo multidisciplinario + 300 atenciones/año</t>
  </si>
  <si>
    <t>Centro consolidado + sucursales en localidades + 600 atenciones/año</t>
  </si>
  <si>
    <t>Dirección Seguridad Pública + Oficina de la Mujer</t>
  </si>
  <si>
    <t>Municipal + SERNAM + SPD + GORE</t>
  </si>
  <si>
    <t>ODS 5, 16</t>
  </si>
  <si>
    <t>OE 5.3 Reducir robos violentos y delitos de mayor connotación social</t>
  </si>
  <si>
    <t>Cámaras de Televigilancia"Todo Rengo Seguro"</t>
  </si>
  <si>
    <t>Expandir y modernizar la red de cámaras de televigilancia comunal con tecnología de alta definición, visión nocturna y conexión a central de monitoreo 24/7 para disuasión y apoyo a investigación.</t>
  </si>
  <si>
    <t>Las cámaras crecieron de 8 (2012) a 80 (2023), pero los 1.703 DMCS anuales y 166 robos violentos demandan expansión. La encuesta ciudadana prioriza seguridad con 63% de menciones y la inversión SECPLA creció de $2.000M a $20.000M. Los delitos contra la vida aumentaron 126%. Los delitos contra propiedad no violentos suman 1.222 (+22%), con 141 adultos mayores víctimas (+355%). Los jóvenes victimarios 14-17 en robos violentos representan 26,9% de agresores (14 de 52), requiriendo patrullaje focalizado (Carabineros 2024).</t>
  </si>
  <si>
    <t>Cámaras operativas; Cobertura territorial (%); Contribución al esclarecimiento de delitos</t>
  </si>
  <si>
    <t>Red de cámaras limitada y tecnología desactualizada</t>
  </si>
  <si>
    <t>80 cámaras HD + central de monitoreo 24/7 + cobertura sectores críticos</t>
  </si>
  <si>
    <t>200 cámaras inteligentes + cobertura 100% urbano + analítica de video</t>
  </si>
  <si>
    <t>Municipal + SPD + FNDR + GORE</t>
  </si>
  <si>
    <t>Fortalecimiento de Formación y Equipamiento en Seguridad</t>
  </si>
  <si>
    <t>Fortalecer la formación profesional y el equipamiento del personal de seguridad municipal, incluyendo capacitación en derechos humanos, mediación, tecnología y dotación de vehículos e implementos.</t>
  </si>
  <si>
    <t>Los 166 robos violentos y el aumento de 126% en delitos contra la vida requieren personal capacitado. La comuna cuenta con la Cuarta Comisaría con baja dotación policial, falta de vehículos y ausencia de drones. El presupuesto municipal destina 84,57% a gasto corriente con 939 funcionarios. Carabineros reporta baja dotación policial en prevención, y requiere drones para control de microtrafico y fotoradares para control de velocidad. Los victimarios identificados en delitos de vida suman 740 (576 hombres=77,8%; Carabineros 2024). La tasa de victimización alcanza 85,4 por 1.000 hab. y los delitos de armas crecieron 308% (de 13 a 53 casos), requiriendo capacitación especializada. (Fuente: Carabineros/CEAD 2024; Plan Comunal Seguridad 2025; Encuesta ciudadana n=119)</t>
  </si>
  <si>
    <t>Personal capacitado; Horas de formación anual; Equipamiento renovado; Vehículos operativos</t>
  </si>
  <si>
    <t>Equipamiento básico y capacitación esporádica</t>
  </si>
  <si>
    <t>100% personal capacitado + renovación 50% equipamiento + 4 vehículos nuevos</t>
  </si>
  <si>
    <t>Programa formación continua + equipamiento completo + flota renovada</t>
  </si>
  <si>
    <t>Dirección Seguridad Pública + RRHH</t>
  </si>
  <si>
    <t>Fortalecimiento de Seguridad en Zonas Comerciales</t>
  </si>
  <si>
    <t>Fortalecer la seguridad en zonas comerciales de Rengo centro y Rosario mediante patrullajes a pie de inspectores municipales DSP, ampliación de cámaras de televigilancia conectadas a la central de monitoreo, mejoramiento de iluminación pública y botones de pánico en locales, coordinando con las 4.829 empresas del comercio local.</t>
  </si>
  <si>
    <t>Los 1.703 DMCS incluyen 456 hurtos en zonas comerciales, con las 4.829 empresas comunales (1a en región) requiriendo protección. La tasa de adjudicación de licitaciones bajó de 84,8% a 71,6%, evidenciando impacto económico de la inseguridad. Los delitos contra la vida crecieron 126%. Los delitos de armas crecieron 308% (de 13 a 53 casos), complementando el aumento en vida (+126%), drogas (+440%) y robos violentos (+107%). Los adultos mayores víctimas 65+ crecieron +554% en vida y +567% en robos, siendo grupo más vulnerable (Carabineros 2024). La percepción de inseguridad del 70% (encuesta n=119) afecta directamente la actividad económica de las 4.829 empresas comunales y la confianza inversora. (Fuente: Carabineros/CEAD 2024; Plan Comunal Seguridad 2025; Encuesta ciudadana n=119)</t>
  </si>
  <si>
    <t>Locales comerciales protegidos; Denuncias en zonas comerciales; Botones de pánico instalados</t>
  </si>
  <si>
    <t>Seguridad en zonas comerciales sin plan específico</t>
  </si>
  <si>
    <t>Plan operativo en centro de Rengo + 50 botones de pánico + patrullajes</t>
  </si>
  <si>
    <t>Cobertura en 100% zonas comerciales + sistema integrado + reducción 40% delitos</t>
  </si>
  <si>
    <t>Dirección Seguridad Pública + Desarrollo Económico</t>
  </si>
  <si>
    <t>Municipal + SPD + Cámara de Comercio</t>
  </si>
  <si>
    <t>ODS 8, 16</t>
  </si>
  <si>
    <t>Fortalecimiento de Vigilancia"Plan Cuadrante Preventivo"</t>
  </si>
  <si>
    <t>Fortalecer el plan cuadrante de vigilancia preventiva municipal, ampliando cobertura territorial, frecuencia de patrullajes y coordinación operativa con Carabineros en sectores de mayor incidencia delictiva.</t>
  </si>
  <si>
    <t>Los 1.703 DMCS incluyen 456 hurtos, 382 lesiones, 241 robos en lugar no habitado y 166 robos con violencia, concentrados en sectores específicos. Los delitos contra la vida crecieron 126% y los de drogas 440%. La focalización territorial permite optimizar recursos de la Cuarta Comisaría con baja dotación. Los delitos contra propiedad no violentos suman 1.222 (+22%), con 141 adultos mayores víctimas (+355%). Los jóvenes victimarios 14-17 en robos violentos representan 26,9% de agresores (14 de 52), requiriendo patrullaje focalizado (Carabineros 2024). La tasa de victimización de 85,4 por 1.000 hab. y la concentración de delitos en zonas comerciales centrales requieren focalización territorial diferenciada. (Fuente: Carabineros/CEAD 2024; Plan Comunal Seguridad 2025; Encuesta ciudadana n=119)</t>
  </si>
  <si>
    <t>Cuadrantes operativos; Frecuencia de patrullajes por sector; Reducción de delitos por cuadrante</t>
  </si>
  <si>
    <t>Patrullajes sin sistematización por cuadrantes</t>
  </si>
  <si>
    <t>8 cuadrantes operativos + patrullajes diarios + mapa de calor delictual</t>
  </si>
  <si>
    <t>15 cuadrantes + patrullajes 24/7 + sistema predictivo de patrullaje</t>
  </si>
  <si>
    <t>Dirección Seguridad Pública</t>
  </si>
  <si>
    <t>Municipal + SPD + Carabineros</t>
  </si>
  <si>
    <t>Inversión Estratégica en Vehículos de Seguridad</t>
  </si>
  <si>
    <t>Renovar y ampliar la flota de vehículos de seguridad municipal, incluyendo patrullas, motocicletas, bicicletas y vehículos especializados para mejorar cobertura y capacidad de respuesta territorial.</t>
  </si>
  <si>
    <t>La capacidad de respuesta depende de movilidad operativa para cubrir 592 km2 de territorio comunal con 65.786 hab. La Cuarta Comisaría reporta falta de vehículos y drones. Los 5.620 casos anuales de seguridad y la dispersión entre distritos urbanos (79,2%) y rurales exigen flota adecuada. Los delitos de armas crecieron 308% (de 13 a 53 casos), complementando el aumento en vida (+126%), drogas (+440%) y robos violentos (+107%). Los adultos mayores víctimas 65+ crecieron +554% en vida y +567% en robos, siendo grupo más vulnerable (Carabineros 2024). La relación de 65.786 hab. por comisaría es la más alta del sector, requiriendo movilidad operativa para 592 km2 de territorio con distritos rurales de difícil acceso. (Fuente: Carabineros/CEAD 2024; Plan Comunal Seguridad 2025; Encuesta ciudadana n=119)</t>
  </si>
  <si>
    <t>Vehículos operativos; Tiempo de respuesta promedio; Cobertura territorial de patrullaje</t>
  </si>
  <si>
    <t>Flota vehicular limitada y con alto desgaste</t>
  </si>
  <si>
    <t>Renovación 60% flota + 4 vehículos nuevos + 6 motocicletas</t>
  </si>
  <si>
    <t>Flota completa renovada + vehículos eléctricos + 100% cobertura territorial</t>
  </si>
  <si>
    <t>Dirección Seguridad Pública + Administración</t>
  </si>
  <si>
    <t>Red Inteligente de Prevención con Inteligencia Artificial</t>
  </si>
  <si>
    <t>Desarrollar una red inteligente de prevención del delito que integre inteligencia artificial, análisis predictivo de los 5.620 casos anuales registrados y reconocimiento de patrones delictuales, generando alertas tempranas que permitan a la DSP y Carabineros focalizar recursos preventivos en puntos críticos de la comuna.</t>
  </si>
  <si>
    <t>Con 1.703 DMCS anuales (166 robos violentos) y recursos limitados, la IA permite focalizar prevención. Los delitos contra la vida crecieron 126% y las infracciones de drogas 440%. El BIP destina solo $20 MM a seguridad pública (1,8% de inversión total de $1.101 MM), requiriendo optimización tecnológica. El BIP destina solo $20 MM a seguridad pública (1,8% de $1.101 MM total), con solo 27 registros (2,3%), evidenciando subinversión histórica que la IA puede compensar al optimizar recursos existentes (Análisis BIP 2025).</t>
  </si>
  <si>
    <t>Alertas predictivas generadas; Precisión del sistema; Reducción de delitos en zonas focalizadas</t>
  </si>
  <si>
    <t>Sin sistema de análisis predictivo del delito</t>
  </si>
  <si>
    <t>Sistema piloto operativo + análisis de datos históricos + primeras alertas</t>
  </si>
  <si>
    <t>Sistema IA integrado + reducción 25% delitos en zonas focalizadas</t>
  </si>
  <si>
    <t>Municipal + SPD + FNDR + Universidades</t>
  </si>
  <si>
    <t>ODS 9, 16</t>
  </si>
  <si>
    <t>Refuerzo de Seguridad en Áreas Comerciales</t>
  </si>
  <si>
    <t>Complementar el plan de seguridad en áreas comerciales con estrategias de prevención situacional, diseño urbano seguro, mejoramiento de accesos y coordinación público-privada para entornos comerciales seguros.</t>
  </si>
  <si>
    <t>Los sectores comerciales periféricos y ferias (Feria La Piscina, Balmaceda) requieren estrategia complementaria de seguridad. Las licitaciones municipales priorizan áreas verdes y parques (52 procesos) pero sin CPTED integrado. El diagnóstico de espacio público identifica sitios eriazos como puntos críticos. Los 456 hurtos representan 26,8% de los DMCS, concentrándose en zonas comerciales. La densidad empresarial de 74,5 por 1.000 hab. (1a regional) justifica protección focalizada para mantener dinamismo económico (SINIM 2024; Carabineros 2024).</t>
  </si>
  <si>
    <t>Áreas comerciales intervenidas con CPTED; Mejoras de infraestructura realizadas; Satisfacción de comerciantes</t>
  </si>
  <si>
    <t>Áreas comerciales periféricas sin intervención de seguridad</t>
  </si>
  <si>
    <t>5 áreas comerciales intervenidas + mejoras de iluminación y accesos</t>
  </si>
  <si>
    <t>100% áreas comerciales con CPTED + evaluación periódica de seguridad</t>
  </si>
  <si>
    <t>ODS 8, 11, 16</t>
  </si>
  <si>
    <t>Sistema Integrado de Seguridad Pública</t>
  </si>
  <si>
    <t>Articular un sistema integrado de seguridad pública que conecte las 80 cámaras de televigilancia, la central de monitoreo DSP creada en 2022, los patrullajes preventivos municipales y la coordinación operativa en tiempo real con Carabineros y PDI, cubriendo zonas residenciales, comerciales y rurales de Rengo.</t>
  </si>
  <si>
    <t>Los 5.620 casos totales de seguridad incluyen 1.703 DMCS, 166 robos con violencia y 608 casos de VIF. Los delitos contra la vida crecieron 126% y los de drogas 440%. La encuesta ciudadana prioriza seguridad (63%) y funcionarios la ubican en 57%; se requiere sistema integrado con las 80 cámaras existentes. Las incivilidades son la única categoría con reducción (-4%, de 1.107 a 1.064 casos), evidenciando que prevención situacional funciona. Los delitos contra propiedad no violentos crecieron 22% (de 1.002 a 1.222), con 141 adultos mayores víctimas (+355%; Carabineros 2024).</t>
  </si>
  <si>
    <t>Delitos de mayor connotación social; Tiempo de respuesta ante emergencias; Cobertura de televigilancia</t>
  </si>
  <si>
    <t>Sistema de seguridad fragmentado sin integración tecnológica</t>
  </si>
  <si>
    <t>Central de monitoreo 24/7 + 50 cámaras + coordinación integrada</t>
  </si>
  <si>
    <t>Sistema inteligente con IA + 150 cámaras + reducción 30% delitos</t>
  </si>
  <si>
    <t>Municipal + SPD + FNDR + Carabineros + PDI</t>
  </si>
  <si>
    <t>OE 5.3 Reducir robos , micro tráfico, incivilidades, exceso de velocidad y delitos de mayor connotación social</t>
  </si>
  <si>
    <t>Reducción de presencia de Rucos y Asentamientos Informales en Espacios Públicos</t>
  </si>
  <si>
    <t>Ejecutar un programa coordinado entre DSP, DOM y DIDECO para la intervención social y urbanística en asentamientos informales y campamentos de la comuna, articulando soluciones habitacionales con MINVU-SERVIU, apoyo psicosocial, reinserción laboral y recuperación de los espacios públicos afectados.</t>
  </si>
  <si>
    <t>Según Diagnóstico PLADECO 2025, 54,41% de NNA se siente inseguro en espacios públicos, se registran 608 denuncias VIF (78% mujeres), delitos contra la vida aumentaron +126%, drogas +440%, bullying afecta al 23,75% de estudiantes, con 5.620 casos totales del sistema de seguridad. La comuna de 65.786 habitantes requiere intervención integral. Los asentamientos informales afectan la convivencia y seguridad en espacios públicos, donde 54,41% de NNA se siente inseguro.</t>
  </si>
  <si>
    <t>N de asentamientos intervenidos; Personas derivadas a programas sociales; Espacios recuperados</t>
  </si>
  <si>
    <t>Dir. Seguridad Publica</t>
  </si>
  <si>
    <t>Municipal + FNSP + Sectorial</t>
  </si>
  <si>
    <t>ODS 5, 11, 16</t>
  </si>
  <si>
    <t>Inversión en equipamiento de seguridad pública: Pistola de Radar y Dron para Carabineros</t>
  </si>
  <si>
    <t>Adquirir y poner en operación equipamiento tecnológico para la seguridad publica comunal, incluyendo pistolas de radar para control de velocidad en vías críticas y drones de vigilancia aérea para Carabineros, fortaleciendo la fiscalización de tránsito y la capacidad de patrullaje en los 592 km2 del territorio de Rengo.</t>
  </si>
  <si>
    <t>Según Diagnóstico PLADECO 2025, 54,41% de NNA se siente inseguro en espacios públicos, se registran 608 denuncias VIF (78% mujeres), delitos contra la vida aumentaron +126%, drogas +440%, bullying afecta al 23,75% de estudiantes, con 5.620 casos totales del sistema de seguridad. La comuna de 65.786 habitantes requiere intervención integral. Los delitos contra la vida aumentaron +126% y las drogas +440%, requiriendo equipamiento tecnológico para la prevención.</t>
  </si>
  <si>
    <t>Equipos adquiridos; Operativos realizados con tecnología; Reducción infracciones (%)</t>
  </si>
  <si>
    <t>Municipal + Carabineros</t>
  </si>
  <si>
    <t>OE 5.4 Convivencia escolar</t>
  </si>
  <si>
    <t>Seguridad Pública</t>
  </si>
  <si>
    <t>R6: Ordenanza de Seguridad y Convivencia Ciudadana</t>
  </si>
  <si>
    <t>Marco normativo integral para convivencia vecinal, uso espacio público y prevención conductas antisociales.</t>
  </si>
  <si>
    <t>5.620 casos seguridad. Delitos vida +126%, drogas +440%. 54,41% NNA inseguros. 608 VIF (78% mujeres). 70% inseguridad como problema principal (n=119). Bullying 23,75%. Solo 2 decretos (3,6%) en seguridad en corpus normativo.</t>
  </si>
  <si>
    <t>Sin ordenanza convivencia</t>
  </si>
  <si>
    <t>Ordenanza con protocolos</t>
  </si>
  <si>
    <t>Evaluación percepción bienal</t>
  </si>
  <si>
    <t>DSP + Jurídica</t>
  </si>
  <si>
    <t>Municipal + SENDA + OLN</t>
  </si>
  <si>
    <t>OE 5.4 Mejorar convivencia escolar y reducir bullying en establecimientos educacionales</t>
  </si>
  <si>
    <t>Programa de Seguridad Escolar"Protegiendo Nuestro Futuro"</t>
  </si>
  <si>
    <t>Fortalecer la seguridad escolar en los 32 establecimientos educacionales de Rengo mediante protocolos de prevención actualizados, equipos de mediación de conflictos, programas de prevención de bullying y ciberbullying, y coordinación permanente con Carabineros para garantizar entornos escolares seguros y libres de violencia.</t>
  </si>
  <si>
    <t>La encuesta NNA (n=21) reporta 24% de violencia escolar recurrente y 52% la observa rara vez. El 38% identifica consumo de alcohol/drogas y 24% falta de iluminación como factores de inseguridad. Los 27 establecimientos municipales con 9.766 alumnos requieren programa integral de seguridad escolar. En seguridad NNA, 14% reporta presencia de pandillas, 24% falta de iluminación, y 38% identifica consumo de alcohol/drogas como situación de inseguridad principal. El 52% reporta violencia escolar rara vez y 19% nunca la ha experimentado (Diagnóstico NNA n=21).</t>
  </si>
  <si>
    <t>Establecimientos con programa implementado; Casos de bullying reportados y atendidos; Índice de convivencia escolar</t>
  </si>
  <si>
    <t>Protocolos de seguridad escolar parciales sin programa integral</t>
  </si>
  <si>
    <t>100% establecimientos municipales con programa + mediadores escolares</t>
  </si>
  <si>
    <t>Programa extendido a establecimientos subvencionados + reducción 50% bullying</t>
  </si>
  <si>
    <t>DAEM + Dirección Seguridad Pública + OPD</t>
  </si>
  <si>
    <t>Municipal + MINEDUC + SPD + Carabineros</t>
  </si>
  <si>
    <t>ODS 4, 16</t>
  </si>
  <si>
    <t>OE 5.5 Implementar plan comunal de gestión del riesgo de desastres conforme Ley 21.364</t>
  </si>
  <si>
    <t>Plan Comunal de Emergencia (Gestión de Emergencias y Desastres)</t>
  </si>
  <si>
    <t>Relaciones Público - Privada: Compromiso con la Prevención</t>
  </si>
  <si>
    <t>Establecer vínculos formales de coordinación y trabajo conjunto entre la Municipalidad de Rengo y las empresas de servicios básicos presentes en el territorio (ESSBIO, CGE, ISAVIAS), mediante convenios de colaboración orientados a la prevención de emergencias. Los acuerdos definirán protocolos compartidos de respuesta ante cortes de suministro, inundaciones, incendios y eventos de crisis hídrica, articulando la infraestructura privada con el Plan Comunal de Emergencia bajo el marco de la Ley 21.364 de Gestión del Riesgo de Desastres.</t>
  </si>
  <si>
    <t>Bomberos señala que no existe comunicación ni coordinación con empresas como ESSBIO y CGE para la prevención de emergencias (Entrevista Bomberos, 2025). El Plan Comunal de Emergencia vigente no contempla compromisos formales con el sector privado de servicios básicos. Con 110 incendios forestales registrados (2010-2018) y la crisis hídrica en curso, la articulación público-privada es urgente. La Ley 21.364 de Gestión del Riesgo establece la obligación de coordinar con operadores de servicios básicos para la prevención y respuesta ante emergencias en la comuna.</t>
  </si>
  <si>
    <t>N° convenios firmados con empresas privadas; N° campañas conjuntas de prevención/año; N° protocolos de coordinación activos y vigentes</t>
  </si>
  <si>
    <t>Sin convenios formales con empresas de servicios básicos; sin protocolos conjuntos de prevención</t>
  </si>
  <si>
    <t>3 convenios activos (ESSBIO, CGE, ISAVIAS); 2 campañas conjuntas/año; protocolo unificado aprobado</t>
  </si>
  <si>
    <t>5+ empresas integradas al Plan Comunal de Emergencia; simulacros anuales conjuntos; protocolo de respuesta activo</t>
  </si>
  <si>
    <t>Dirección Seguridad Pública + DIDECO + Alcaldía</t>
  </si>
  <si>
    <t>Municipal + Aportes privados (RSE)</t>
  </si>
  <si>
    <t>ODS 11, 13, 17</t>
  </si>
  <si>
    <t>Capacitaciones Preventivas: Rengo Preparado, Rengo Seguro</t>
  </si>
  <si>
    <t>Promover la capacitación integral en gestión del riesgo de desastres para las organizaciones funcionales y territoriales de Rengo, abordando los ciclos de prevención, reacción, mitigación y recuperación ante incendios urbanos, rurales y emergencias hídricas. El programa articula la acción conjunta entre la Municipalidad, Bomberos, Carabineros, SAMU y Hospital de Rengo, con foco en las 330 organizaciones comunitarias de las 21 Unidades Vecinales, buscando elevar desde el actual 6% el porcentaje de ciudadanía que conoce y maneja el Plan Comunal de Emergencias.</t>
  </si>
  <si>
    <t>Solo el 6% de la ciudadanía conoce el Plan Comunal de Emergencias y el 54,41% de los NNA se siente inseguro (Encuesta ciudadana, n=119). Bomberos señala la necesidad de mayor participación preventiva comunitaria. Carabineros indica que la educación cívica es clave para la prevención. La Ley 21.364 exige que los municipios promuevan la educación en gestión del riesgo de desastres. Las 330 organizaciones comunitarias son el canal natural para la difusión preventiva, especialmente en los 4 sectores rurales con mayor vulnerabilidad ante incendios y emergencias hídricas.</t>
  </si>
  <si>
    <t>N° organizaciones capacitadas en prevención/año; % ciudadanía con conocimiento del Plan de Emergencias; N° simulacros realizados/año; N° brigadas preventivas creadas</t>
  </si>
  <si>
    <t>6% ciudadanía conoce Plan Comunal de Emergencias; sin programa formal de capacitación comunitaria</t>
  </si>
  <si>
    <t>100 organizaciones capacitadas; 30% ciudadanía conoce el plan; 2 simulacros comunales/año</t>
  </si>
  <si>
    <t>60% ciudadanía capacitada en prevención; 21 UVs con brigadas preventivas activas; 4 simulacros/año</t>
  </si>
  <si>
    <t>Dirección Seguridad Pública + Bomberos + Carabineros + DIDECO</t>
  </si>
  <si>
    <t>ODS 11, 13, 4</t>
  </si>
  <si>
    <t>Activación COGRID Preventivo y Reactivo</t>
  </si>
  <si>
    <t>Activar y mantener operativo el Comité de Gestión del Riesgo de Desastres (COGRID) comunal conforme a la Ley 21.364, con sesiones preventivas mensuales, protocolos reactivos ante emergencias, coordinación con SENAPRED y actualización permanente del plan comunal de emergencias para los 65.786 habitantes de Rengo.</t>
  </si>
  <si>
    <t>La Ley 21.364 establece el COGRID como instancia obligatoria. Rengo tiene historial de desastres: terremoto 2010 (8,8 Richter dañó 80% viviendas en 1985), inundación 1982 (70% superficie), y 110 incendios forestales (2010-2018). Las sesiones preventivas regulares son mandatorias. Las sesiones preventivas del COGRID son mandatorias bajo Ley 21.364 para una comuna con historial de eventos: 1878 (inundación), 1982 (70% superficie), 1985 (terremoto) y 110 incendios 2010-2018 (Diagnóstico Riesgos 2025).</t>
  </si>
  <si>
    <t>Sesiones preventivas del COGRID realizadas; Tiempo de activación reactiva; Instituciones participantes</t>
  </si>
  <si>
    <t>COGRID con activación solo reactiva sin sesiones preventivas regulares</t>
  </si>
  <si>
    <t>COGRID con sesiones mensuales preventivas + protocolos actualizados</t>
  </si>
  <si>
    <t>COGRID modelo regional + sistema de alerta temprana + coordinación permanente</t>
  </si>
  <si>
    <t>Dirección Protección Civil + Alcaldía</t>
  </si>
  <si>
    <t>Municipal + SENAPRED + Carabineros + Bomberos + Salud</t>
  </si>
  <si>
    <t>Centro de Gestión Social y Emergencias</t>
  </si>
  <si>
    <t>Crear centro de gestión social y emergencias que integre coordinación operativa, atención a damnificados, gestión de albergues y articulación de ayuda humanitaria en un espacio físico dedicado.</t>
  </si>
  <si>
    <t>Rengo carece de espacio dedicado a coordinación de emergencias, pese a historial de desastres: inundación 1982 (70% superficie), terremoto 2010 y 110 incendios forestales. La comuna tiene 592 km2 de territorio y distritos rurales de difícil acceso (Chanqueahue 232,5 km2, Popeta 142,9 km2). El embalse del Rio Claro (10 M m3) y la Junta de Vigilancia (1.200 regantes, 74 años de funcionamiento) son infraestructura crítica. Las precipitaciones proyectadas caen -14,4% al 2050 y la sequía estival aumenta de 39,9% a 54,3% al 2065 (Diagnóstico Climático 2025). La coordinación entre los 939 funcionarios municipales y Carabineros requiere un centro operativo que integre los 5.620 casos anuales de seguridad con la gestión social. (Fuente: Carabineros/CEAD 2024; Plan Comunal Seguridad 2025; Encuesta ciudadana n=119)</t>
  </si>
  <si>
    <t>Centro operativo; Capacidad de albergue; Tiempo de activación de ayuda humanitaria</t>
  </si>
  <si>
    <t>Sin centro dedicado para gestión de emergencias</t>
  </si>
  <si>
    <t>Centro operativo habilitado + capacidad para 200 personas + protocolos</t>
  </si>
  <si>
    <t>Centro de gestión modelo + redundancia operativa + capacidad 500 personas</t>
  </si>
  <si>
    <t>Dirección Protección Civil + SECPLAN + DIDECO</t>
  </si>
  <si>
    <t>Municipal + SENAPRED + FNDR + GORE</t>
  </si>
  <si>
    <t>Coordinación Interinstitucional para Emergencias</t>
  </si>
  <si>
    <t>Fortalecer la coordinación interinstitucional para gestión de emergencias mediante convenios, protocolos conjuntos y ejercicios periódicos con Carabineros, Bomberos, Salud, SENAPRED y Fuerzas Armadas.</t>
  </si>
  <si>
    <t>La respuesta eficaz requiere coordinación interinstitucional: Rengo tiene 15 conexiones directas en red de similitud regional (umbral &gt;=68,5%). La Contraloría emitió 24 instrumentos de control en 15 años con 3 derivaciones al Ministerio Público. La Ley 21.364 mandata articulación permanente. El embalse del Rio Claro (10 M m3) y la Junta de Vigilancia (1.200 regantes, 74 años de funcionamiento) son infraestructura crítica. Las precipitaciones proyectadas caen -14,4% al 2050 y la sequía estival aumenta de 39,9% a 54,3% al 2065 (Diagnóstico Climático 2025).</t>
  </si>
  <si>
    <t>Convenios interinstitucionales vigentes; Ejercicios conjuntos realizados; Protocolos de coordinación actualizados</t>
  </si>
  <si>
    <t>Coordinación ad hoc sin convenios formales permanentes</t>
  </si>
  <si>
    <t>Convenios con 100% instituciones clave + 2 ejercicios conjuntos anuales</t>
  </si>
  <si>
    <t>Sistema de coordinación permanente + centro de mando unificado + interoperabilidad</t>
  </si>
  <si>
    <t>Municipal + SENAPRED + Carabineros + Bomberos + FFAA + Salud</t>
  </si>
  <si>
    <t>Establecimiento de Presupuesto Fijo para Emergencias</t>
  </si>
  <si>
    <t>Establecer partida presupuestaria fija anual para gestión de emergencias y desastres, garantizando recursos permanentes para prevención, respuesta y recuperación conforme Ley 21.364.</t>
  </si>
  <si>
    <t>La gestión de emergencias requiere recursos predecibles: el presupuesto municipal destina 84,57% a gasto corriente y el gasto en personal (74%) supera el umbral CGR de 70%. Los recursos no ejecutados se estiman en MM $3.526 anuales. La ejecución de inversiones cayó a 32,2% en 2024. La captación de transferencias de solo 6,28% (promedio 13,89%) evidencia recursos sectoriales no capturados que podrían financiar gestión de emergencias. El superávit histórico fue $2.085M (2021) con único déficit en 2020 (-$50M, COVID-19; SINIM 2024).</t>
  </si>
  <si>
    <t>Presupuesto anual asignado a emergencias; Porcentaje del presupuesto municipal; Ejecución presupuestaria</t>
  </si>
  <si>
    <t>Sin partida presupuestaria fija para emergencias</t>
  </si>
  <si>
    <t>Partida fija equivalente al 2% presupuesto municipal + fondo de reserva</t>
  </si>
  <si>
    <t>3% presupuesto municipal + fondo de contingencia + seguros comunales</t>
  </si>
  <si>
    <t>Dirección Protección Civil + Finanzas + Alcaldía</t>
  </si>
  <si>
    <t>Fortalecimiento de Capacidad de Respuesta"Rengo Resiliente"</t>
  </si>
  <si>
    <t>Fortalecer la capacidad de respuesta comunal ante emergencias y desastres mediante equipamiento, capacitación de brigadas, simulacros periódicos y articulación con SENAPRED y organismos de primera respuesta.</t>
  </si>
  <si>
    <t>Rengo enfrenta riesgos múltiples: 110 incendios forestales (2010-2018, 3.225 ha afectadas), inundaciones recurrentes (1878-2023, la de 1982 afectó 70% de la superficie) y precipitaciones -30-35%. La proyección de sequía estival aumenta de 39,9% a 54,3% al 2065. La Ley 21.364 exige plan comunal con capacidad articulada. La proyección climática indica sequía estival aumentando de 39,9% a 54,3% al 2065, con temperatura +2,2 C en verano y -111 mm de precipitación al 2050. La amplitud térmica urbana (17,4 C) vs rural (12,1 C) agrava riesgo de incendios (Diagnóstico Climático 2025).</t>
  </si>
  <si>
    <t>Brigadas capacitadas; Simulacros realizados al año; Tiempo de activación del COE comunal</t>
  </si>
  <si>
    <t>Capacidad de respuesta básica sin plan estructurado según Ley 21.364</t>
  </si>
  <si>
    <t>Plan comunal aprobado + 10 brigadas + 4 simulacros anuales</t>
  </si>
  <si>
    <t>Sistema integral de respuesta + certificación SENAPRED + brigadas en 100% localidades</t>
  </si>
  <si>
    <t>Dirección Protección Civil + SECPLAN</t>
  </si>
  <si>
    <t>Municipal + SENAPRED + GORE + Bomberos + Cruz Roja</t>
  </si>
  <si>
    <t>Integración de Tecnologías para Emergencias"Rengo Inteligente"</t>
  </si>
  <si>
    <t>Desplegar tecnologías de monitoreo y alerta temprana para la gestión de emergencias en Rengo, incluyendo sensores de nivel de agua en el Río Claro, estaciones meteorológicas automáticas, sistemas de alerta masiva por SMS y sirenas, y drones de reconocimiento para evaluación rápida de daños en los 592 km2 comunales.</t>
  </si>
  <si>
    <t>Las precipitaciones cayeron 30-35% y la demanda hídrica es 220,8 hm3/año con oferta de 541 hm3/año. Los 110 incendios forestales (2010-2018) y riesgo de inundación requieren monitoreo tecnológico. La irradiancia solar de 5,3 kWh/m2/día permite alimentar sensores con energía renovable. El embalse del Rio Claro (10 M m3) y la Junta de Vigilancia (1.200 regantes, 74 años de funcionamiento) son infraestructura crítica. Las precipitaciones proyectadas caen -14,4% al 2050 y la sequía estival aumenta de 39,9% a 54,3% al 2065 (Diagnóstico Climático 2025). Las 14.191 conexiones de internet fijas (5a de 33) y la irradiancia solar de 5,3 kWh/m2/día permiten implementar una red de sensores autónomos con conectividad garantizada. (Fuente: Carabineros/CEAD 2024; Plan Comunal Seguridad 2025; Encuesta ciudadana n=119)</t>
  </si>
  <si>
    <t>Sensores y estaciones instalados; Alertas tempranas emitidas; Cobertura del sistema de alerta masiva</t>
  </si>
  <si>
    <t>Sin sistema tecnológico de monitoreo de riesgos</t>
  </si>
  <si>
    <t>5 estaciones meteorológicas + sistema de alerta masiva SMS + sensores en cauces</t>
  </si>
  <si>
    <t>Red completa de monitoreo + drones + sistema predictivo de riesgos</t>
  </si>
  <si>
    <t>Dirección Protección Civil + Informática</t>
  </si>
  <si>
    <t>Municipal + SENAPRED + FNDR + DMC + DGA</t>
  </si>
  <si>
    <t>Inversión Estratégica en Equipos de Emergencia"Rengo Estratégico"</t>
  </si>
  <si>
    <t>Adquirir y mantener equipamiento especializado de emergencia incluyendo vehículos de rescate, motobombas, generadores, equipos de comunicación y herramientas de primera respuesta.</t>
  </si>
  <si>
    <t>La crisis hídrica (-30-35% precipitaciones) y los 110 incendios forestales (2010-2018) requiere equipamiento especializado. La inundación de 1982 afectó 70% de la superficie comunal y eventos similares ocurrieron en 2023. La zona precordillerana tiene riesgo muy alto de incendio forestal. El embalse del Rio Claro (10 M m3) y la Junta de Vigilancia (1.200 regantes, 74 años de funcionamiento) son infraestructura crítica. Las precipitaciones proyectadas caen -14,4% al 2050 y la sequía estival aumenta de 39,9% a 54,3% al 2065 (Diagnóstico Climático 2025). Las 21 manzanas críticas (BHT&lt;0,45) albergan 4.136 personas (7,1%) que requieren equipamiento de emergencia priorizado según la MBHT. (Fuente: Carabineros/CEAD 2024; Plan Comunal Seguridad 2025; Encuesta ciudadana n=119)</t>
  </si>
  <si>
    <t>Equipos de emergencia adquiridos; Estado operativo del equipamiento; Capacidad de respuesta simultánea</t>
  </si>
  <si>
    <t>Equipamiento de emergencia básico e insuficiente</t>
  </si>
  <si>
    <t>Renovación 70% equipamiento + 2 vehículos de rescate + generadores</t>
  </si>
  <si>
    <t>Equipamiento completo según estándar SENAPRED + mantenimiento preventivo</t>
  </si>
  <si>
    <t>Dirección Protección Civil + Administración</t>
  </si>
  <si>
    <t>Mantenimiento de Infraestructura Crítica</t>
  </si>
  <si>
    <t>Establecer un programa de mantenimiento preventivo y mejoramiento de infraestructura crítica comunal, abarcando puentes, caminos rurales, sistemas de drenaje y redes de agua potable en las 12 unidades vecinales rurales, con cronograma anual de inspecciones y priorización de intervenciones según vulnerabilidad ante desastres.</t>
  </si>
  <si>
    <t>El alcantarillado cubre 75,1% (urbano 82,3% vs rural 51,4%, brecha 30,9 pp; Censo INE 2024) y el agua potable 93,1% (18a de 33, promedio regional 87,3%), con infraestructura sísmica vulnerable (terremoto 1985: 80% viviendas dañadas). El BIP destina $297 MM a recursos hídricos (27,0% de inversión total de $1.101 MM) evidenciando prioridad histórica. La inundación de 1982 afectó 70% de superficie y eventos recurrentes continúan (2023). El déficit habitacional de 1.401 unidades (5,9%), compuesto por 1.245 con hacinamiento crítico, 264 irrecuperables y 524 allegados, agrava la vulnerabilidad ante desastres (Censo INE 2024).</t>
  </si>
  <si>
    <t>Infraestructura crítica catastrada; Intervenciones de mantenimiento preventivo; Reducción de daños por emergencias</t>
  </si>
  <si>
    <t>Mantenimiento reactivo sin catastro de infraestructura crítica</t>
  </si>
  <si>
    <t>Catastro 100% infraestructura crítica + plan de mantenimiento preventivo anual</t>
  </si>
  <si>
    <t>Sistema de gestión de activos + mantenimiento predictivo + inversión en resiliencia</t>
  </si>
  <si>
    <t>DOM + Dirección Protección Civil + SECPLAN</t>
  </si>
  <si>
    <t>Municipal + MOP + FNDR + GORE</t>
  </si>
  <si>
    <t>Mapeo de Zonas de Evacuación"Rengo Seguro"</t>
  </si>
  <si>
    <t>Elaborar y difundir mapeo completo de zonas de evacuación, rutas seguras, puntos de encuentro y albergues comunales, con señalética en terreno, material digital y capacitación comunitaria.</t>
  </si>
  <si>
    <t>La preparación ante evacuación es crítica: la inundación de 1982 afectó 70% de superficie comunal, y existen asentamientos sin franjas de amortiguación respecto al Río Claro. Los 65.786 habitantes en 592 km2 requieren rutas de evacuación diferenciadas para distritos urbanos (&gt;4.000 hab/km2) y rurales (&lt;30 hab/km2). Las 21 manzanas críticas (BHT&lt;0,45) albergan 4.136 personas (7,1%) que requieren rutas de evacuación priorizadas, con 12 manzanas en zona urbana central (distrito 041, 2.318 hab.; Diagnóstico MBHT 2025). Los distritos Chanqueahue (232,5 km2) y Popeta (142,9 km2) con densidad &lt;30 hab/km2 requieren rutas diferenciadas respecto a los distritos urbanos (&gt;4.000 hab/km2). (Fuente: Carabineros/CEAD 2024; Plan Comunal Seguridad 2025; Encuesta ciudadana n=119)</t>
  </si>
  <si>
    <t>Zonas de evacuación mapeadas; Señalética instalada; Población informada sobre rutas de evacuación</t>
  </si>
  <si>
    <t>Mapeo parcial de zonas de evacuación sin señalética ni difusión</t>
  </si>
  <si>
    <t>Mapeo 100% comuna + señalética en terreno + difusión digital y comunitaria</t>
  </si>
  <si>
    <t>Mapeo dinámico actualizado + app de evacuación + simulacros con rutas + albergues equipados</t>
  </si>
  <si>
    <t>Dirección Protección Civil + SECPLAN + DOM</t>
  </si>
  <si>
    <t>Municipal + SENAPRED + FNDR</t>
  </si>
  <si>
    <t>Plan de Apoyo Psicológico Post-Desastre"Rengo Recupera"</t>
  </si>
  <si>
    <t>Crear plan de apoyo psicológico post-desastre para atención de salud mental de damnificados, brigadas de primera respuesta y comunidad afectada, con equipos especializados en crisis.</t>
  </si>
  <si>
    <t>Los desastres generan impacto psicológico severo: el terremoto de 2010 (8,8 Richter) destruyó centro histórico comercial y la inundación 1982 afectó 70% de la superficie. Los AVPP comunales aumentaron 46,3% (2018-2022) y el PSCV controla 10.528 pacientes crónicos. La red de salud con 63.240 beneficiarios requiere protocolo de crisis. La red de salud realiza 91.606 consultas medicas APS (3a regional, promedio 43.894) y 520.000 prestaciones anuales (+176% desde 2012). Los ESPA alcanzan 4.535 (+152% sobre promedio regional), demostrando capacidad de atención que requiere consolidación (SINIM 2024).</t>
  </si>
  <si>
    <t>Profesionales capacitados en primera ayuda psicológica; Personas atendidas post-emergencia; Protocolos de atención de crisis activos</t>
  </si>
  <si>
    <t>Sin plan formal de apoyo psicológico post-desastre</t>
  </si>
  <si>
    <t>Plan operativo + 20 profesionales capacitados + protocolo de activación</t>
  </si>
  <si>
    <t>Equipo permanente de crisis + red de apoyo comunitario + seguimiento a largo plazo</t>
  </si>
  <si>
    <t>Depto. Salud Municipal + Dirección Protección Civil</t>
  </si>
  <si>
    <t>Municipal + MINSAL + SENAPRED</t>
  </si>
  <si>
    <t>Planificación de Prevención por Temporada de Emergencia</t>
  </si>
  <si>
    <t>Desarrollar planes operativos diferenciados por temporada (invierno: inundaciones/temporales; verano: incendios forestales/sequía) con activación anticipada de recursos y alertas preventivas.</t>
  </si>
  <si>
    <t>La estacionalidad de emergencias requiere planificación diferenciada: 110 incendios forestales (2010-2018, pico enero-febrero) y precipitaciones concentradas en junio-julio (&gt;100 mm/mes). La proyección climática indica +2,2°C en verano y -111 mm de precipitación al 2050. La zona precordillerana tiene riesgo muy alto. El embalse del Rio Claro (10 M m3) y la Junta de Vigilancia (1.200 regantes, 74 años de funcionamiento) son infraestructura crítica. Las precipitaciones proyectadas caen -14,4% al 2050 y la sequía estival aumenta de 39,9% a 54,3% al 2065 (Diagnóstico Climático 2025). Las 21 manzanas críticas (BHT&lt;0,45) y los distritos rurales con densidad &lt;30 hab/km2 requieren planificación estacional diferenciada para protección efectiva. (Fuente: Carabineros/CEAD 2024; Plan Comunal Seguridad 2025; Encuesta ciudadana n=119)</t>
  </si>
  <si>
    <t>Planes estacionales elaborados; Actuaciones preventivas realizadas; Daños evitados respecto a temporadas anteriores</t>
  </si>
  <si>
    <t>Respuesta reactiva sin planificación estacional preventiva</t>
  </si>
  <si>
    <t>Planes operativos invierno y verano + activación preventiva 30 días antes</t>
  </si>
  <si>
    <t>Sistema de planificación estacional integrado + evaluación de riesgos dinámico</t>
  </si>
  <si>
    <t>Dirección Protección Civil</t>
  </si>
  <si>
    <t>Municipal + SENAPRED + CONAF + DOH</t>
  </si>
  <si>
    <t>Programa de Educación Comunitaria en Gestión de Desastres</t>
  </si>
  <si>
    <t>Ejecutar un programa permanente de educación comunitaria en gestión de riesgos y desastres, con talleres en las 330 organizaciones comunitarias, simulacros vecinales semestrales, material educativo adaptado y formación de líderes comunitarios como monitores de preparación ante emergencias en cada unidad vecinal de Rengo.</t>
  </si>
  <si>
    <t>Con 330 organizaciones comunitarias activas y 49 JJVV urbanas entrevistadas, Rengo tiene capital social para formar red de preparación. La etnografía social realizó +50 entrevistas y el diagnóstico geoespacial cubrió 100 puntos en 4 zonas territoriales. La educación comunitaria construye resiliencia ante los 110 incendios forestales y riesgo de inundación. El embalse del Rio Claro (10 M m3) y la Junta de Vigilancia (1.200 regantes, 74 años de funcionamiento) son infraestructura crítica. Las precipitaciones proyectadas caen -14,4% al 2050 y la sequía estival aumenta de 39,9% a 54,3% al 2065 (Diagnóstico Climático 2025).</t>
  </si>
  <si>
    <t>Talleres comunitarios realizados; Líderes comunitarios formados; Vecinos participantes en simulacros</t>
  </si>
  <si>
    <t>Educación en gestión de desastres esporádica sin programa formal</t>
  </si>
  <si>
    <t>Programa en 100% JJVV + 50 líderes comunitarios formados + simulacros anuales</t>
  </si>
  <si>
    <t>Cultura de prevención instalada + 150 líderes + simulacros semestrales en toda la comuna</t>
  </si>
  <si>
    <t>Dirección Protección Civil + DIDECO</t>
  </si>
  <si>
    <t>Municipal + SENAPRED + ONEMI</t>
  </si>
  <si>
    <t>ODS 4, 11, 13</t>
  </si>
  <si>
    <t>Red de Voluntariado "Voluntarios por Rengo"</t>
  </si>
  <si>
    <t>Crear y formalizar red comunal de voluntariado para emergencias, con capacitación certificada, seguro de accidentes, equipamiento básico y protocolos de activación para apoyo a primera respuesta.</t>
  </si>
  <si>
    <t>Con 330 organizaciones comunitarias activas y disposición a participar (49% afirmativa, 43% condicional según encuesta n=119), Rengo puede articular red de voluntarios. La encuesta NNA (n=21) muestra 100% disposición afirmativa a participar. Los 110 incendios forestales y riesgos de inundación requieren capacidad de respuesta ampliada. El 100% de NNA muestra disposición afirmativa a participar (vs 49% ciudadanía), y el 24% de NNA desea actividades de voluntariado, potencial para formacion de jovenes voluntarios en emergencias (Diagnostico NNA n=21).</t>
  </si>
  <si>
    <t>Voluntarios registrados y capacitados; Activaciones de la red; Horas de voluntariado en emergencias</t>
  </si>
  <si>
    <t>Voluntariado espontáneo sin red formal ni capacitación</t>
  </si>
  <si>
    <t>100 voluntarios capacitados + protocolo de activación + seguro de accidentes</t>
  </si>
  <si>
    <t>300 voluntarios + red territorial + certificación SENAPRED + equipamiento</t>
  </si>
  <si>
    <t>Municipal + SENAPRED + Cruz Roja + Bomberos</t>
  </si>
  <si>
    <t>Eje 6: Innovación, Modernizacion y Optimizacion de la Gestión Municipal</t>
  </si>
  <si>
    <t>OE 6.1 Implementar sistema de monitoreo y evaluación de planes y programas municipales</t>
  </si>
  <si>
    <t>Gobernanza Institucional</t>
  </si>
  <si>
    <t>Promoción de Sistematización de la Información Municipal y Social</t>
  </si>
  <si>
    <t>Crear un sistema centralizado de gestión documental y sistematización de la información municipal que integre datos de todas las direcciones, facilite la trazabilidad de decisiones y alimente el tablero de indicadores KPI del PLADECO, fortaleciendo la gestión basada en evidencia entre los 939 funcionarios municipales.</t>
  </si>
  <si>
    <t>Según Diagnóstico PLADECO 2025, el PRC de Rengo lleva 16 años sin actualizar, alcantarillado cubre 75,1%, areas verdes 1,96 m2/hab (norma OMS: 9 m2/hab), crisis hídrica proyecta déficit -30-35%, se registran 110 incendios forestales promedio y el PACCC estima 67,46 ktCO2e anuales. La superficie comunal de 592 km2 requiere planificación territorial actualizada. El PLADECO anterior alcanzó sólo 40% de cumplimiento, evidenciando la necesidad de sistemas de información integrados.</t>
  </si>
  <si>
    <t>Sistema de información implementado; Bases de datos integradas; Reportes automatizados generados</t>
  </si>
  <si>
    <t>Innovación Modernización y Optimización de la Gestión Municipal</t>
  </si>
  <si>
    <t>Juzgado de Policía Local Innovador</t>
  </si>
  <si>
    <t>Modernizar el Juzgado de Policía Local con digitalización de expedientes, sistema de gestión de causas, mediación prejudicial, atención ciudadana mejorada y reducción de tiempos procesales.</t>
  </si>
  <si>
    <t>El Juzgado de Policía Local atiende una comuna de 65.786 hab. con 5.620 casos de seguridad y 2.619 incivilidades anuales. El diagnóstico normativo analiza 65 instrumentos y 55 decretos con 63,6% vigentes por más de 20 años. La modernización permite mejorar acceso a justicia local. Los delitos de armas crecieron 308% (de 13 a 53 casos), complementando el aumento en vida (+126%), drogas (+440%) y robos violentos (+107%). Los adultos mayores víctimas 65+ crecieron +554% en vida y +567% en robos, siendo grupo más vulnerable (Carabineros 2024). La modernización permite reducir tiempos de resolución y mejorar acceso a justicia local para los 65.786 han., conforme al ranking SUBDERE que sitúa a Rengo en posición 11 de 33. (Fuente: CGR 2009-2024; SUBDERE 2023; Etnografía Institucional 2025)</t>
  </si>
  <si>
    <t>Causas ingresadas y resueltas; Tiempo promedio de resolución; Mediaciones exitosas; Satisfacción usuaria</t>
  </si>
  <si>
    <t>Gestión tradicional con expedientes físicos y tiempos prolongados</t>
  </si>
  <si>
    <t>Expediente digital + mediación prejudicial + reducción 30% tiempos</t>
  </si>
  <si>
    <t>Juzgado modelo + resolución en línea + justicia local accesible y eficiente</t>
  </si>
  <si>
    <t>Juzgado Policía Local + Informática</t>
  </si>
  <si>
    <t>Municipal + Poder Judicial + SUBDERE</t>
  </si>
  <si>
    <t>Mapa Comunal de Problemáticas"Observando la Realidad": Promover el trabajo municipal a nivel Unidades Vecinales (Villas - Actores Funcionales y/o Territoriales)</t>
  </si>
  <si>
    <t>Crear sistema de mapeo georeferenciado de problemáticas comunales que permita visualizar, priorizar y monitorear necesidades territoriales en tiempo real con participación ciudadana.</t>
  </si>
  <si>
    <t>La planificación territorial requiere información georeferenciada: el diagnóstico PLADECO cubrió 826 manzanas censales en 47 localidades y 100 puntos de espacio público. Los índices compuestos (IVSH, IDDC, IBDT, IVFT, ICHT, IPSB) permiten focalización. El BIP concentra 87,2% de inversión en Rengo Centro. Rengo cuenta con 65.786 hab. (Censo INE 2024), 4.829 empresas (1a regional) y un BHT promedio de 0,537, con 44,9% de población en quintiles inferiores. La correlación socioeconómica-BHT (r=0,831) evidencia que las intervenciones sociales son el principal motor de bienestar territorial (Diagnóstico PLADECO 2025).</t>
  </si>
  <si>
    <t>Problemáticas georeferenciadas; Sectores priorizados; Intervenciones realizadas según mapa</t>
  </si>
  <si>
    <t>Sin sistema de mapeo georeferenciado de problemáticas</t>
  </si>
  <si>
    <t>Plataforma GIS operativa + catastro de problemáticas + actualización trimestral</t>
  </si>
  <si>
    <t>Sistema en tiempo real + reportes ciudadanos integrados + planificación territorial basada en datos</t>
  </si>
  <si>
    <t>SECPLAN + Informática + DIDECO</t>
  </si>
  <si>
    <t>Municipal + SUBDERE + IGM</t>
  </si>
  <si>
    <t>Optimización Institucional: Menor Burocracia</t>
  </si>
  <si>
    <t>Simplificar y rediseñar procesos administrativos municipales para reducir burocracia, tiempos de tramitación y requisitos innecesarios, mejorando la experiencia del ciudadano y la eficiencia interna.</t>
  </si>
  <si>
    <t>El ranking SUBDERE cayó de 80% a 58,4% y la encuesta funcionaria (n=116) prioriza modernizar procesos (62%). Las licitaciones muestran 17,1% sin ofertas (171 casos) y 58,9% sin presupuesto publicado. La tasa de adjudicación bajó de 84,8% a 71,6% entre períodos, requiriendo simplificación administrativa. Las rendiciones deficientes por 8 años consecutivos (2009-2017) y las instrucciones CGR cumplidas parcial o tardíamente reflejan problemas de procesos que la simplificación administrativa debe resolver (CGR Informe N 894-17).</t>
  </si>
  <si>
    <t>Procesos rediseñados; Reducción de tiempos de tramitación; Documentos eliminados por simplificación</t>
  </si>
  <si>
    <t>Procesos burocráticos sin rediseño formal</t>
  </si>
  <si>
    <t>Rediseño de 20 procesos críticos + reducción 40% tiempos + ventanilla única</t>
  </si>
  <si>
    <t>100% procesos optimizados + automatización + cero papel en procesos internos</t>
  </si>
  <si>
    <t>Administración Municipal + SECPLAN + Informática</t>
  </si>
  <si>
    <t>Municipal + SUBDERE</t>
  </si>
  <si>
    <t>Planificación Estratégica Integral"Municipio Coordinado"</t>
  </si>
  <si>
    <t>Establecer un sistema de planificación estratégica integral que articule PLADECO 2025-2035, presupuesto municipal, planes sectoriales de las 13 unidades municipales y evaluacion de gestion en una plataforma unificada de seguimiento, alineando recursos e indicadores con las 200 politicas del plan comunal.</t>
  </si>
  <si>
    <t>El ranking SUBDERE ubica a Rengo en puesto 11 de 33, cayendo de 80% (2018) a 58,4% (2023) de logro con nuevo instrumento de 26 ámbitos. El ICD evolucionó de 0,10 a 0,88, pero el PLADECO vigente tiene solo 40% de cumplimiento estimado. La planificación integrada permite alinear 65 instrumentos normativos y 55 decretos analizados. El patrimonio municipal paso de -$1.460M (2012) a +$9.400M (2023, +$10.860M), con transparencia CPLT mejorando de 16,41% a 97,89%. Sin embargo, el gasto corriente de 84,57% y gasto en personal de 74,0% (sobre umbral CGR de 70%) limitan inversión (SINIM 2024).</t>
  </si>
  <si>
    <t>Planes articulados en plataforma; Porcentaje de cumplimiento de metas PLADECO; Evaluaciones trimestrales realizadas</t>
  </si>
  <si>
    <t>Planificación sectorial desarticulada sin sistema de seguimiento</t>
  </si>
  <si>
    <t>Plataforma de seguimiento operativa + evaluación trimestral + tablero de gestión</t>
  </si>
  <si>
    <t>Sistema integral de planificación + evaluación en tiempo real + mejora continua</t>
  </si>
  <si>
    <t>SECPLAN + Administración Municipal</t>
  </si>
  <si>
    <t>ODS 16, 17</t>
  </si>
  <si>
    <t>Planificación Estratégica por Servicio: Municipio Coordinado y Eficiente</t>
  </si>
  <si>
    <t>Elaborar planes estratégicos por dirección y departamento de las 13 unidades municipales, alineados al PLADECO 2025-2035, con indicadores de gestión diferenciados, metas anuales verificables y evaluacion de desempeno por servicio que alimente el IIGAM, actualmente en 57% de cumplimiento.</t>
  </si>
  <si>
    <t>La gestión por resultados requiere planificación por servicio: el municipio tiene 939 funcionarios con 34,5% de profesionalización. El ranking SUBDERE cayó de 80% a 58,4% y el PLADECO vigente tiene 40% de cumplimiento estimado. La encuesta funcionaria (n=116) muestra solo 48% de percepción de relevancia laboral. El 48% de funcionarios no considera relevantes sus labores, 52% desconoce flujogramas y 66% conoce procedimientos, evidenciando necesidad de planes por servicio que clarifiquen roles y metas. El 87% cuenta con equipamiento adecuado (Encuesta funcionaria n=116).</t>
  </si>
  <si>
    <t>Direcciones con plan estratégico; Indicadores de gestión definidos; Evaluaciones de desempeño realizadas</t>
  </si>
  <si>
    <t>Gestión sin planes estratégicos por dirección</t>
  </si>
  <si>
    <t>100% direcciones con plan estratégico + indicadores + evaluación anual</t>
  </si>
  <si>
    <t>Sistema de gestión por resultados + benchmarking municipal + mejora continua</t>
  </si>
  <si>
    <t>SECPLAN + Administración Municipal + RRHH</t>
  </si>
  <si>
    <t>Recuperación Responsable: Proyectos Rezagados</t>
  </si>
  <si>
    <t>Identificar, evaluar y reactivar proyectos municipales rezagados o paralizados, estableciendo plan de recuperación con plazos, responsables y recursos para completar inversiones pendientes.</t>
  </si>
  <si>
    <t>El BIP registra 1.182 proyectos con 257 postulaciones (61,2%) y tasa de materialización cayendo a 30,7% (2014-2025). Los recursos no ejecutados se estiman en MM $3.526 anuales y la ejecución de inversiones descendió de 76% (2018) a 32,2% (2024). El proyecto más costoso (BIP 30485264) equivale a 11,4% de toda la inversión. La brecha de materialización alcanza $349 MM entre formulado y ejecutado. El HHI de fuentes financieras es 0,4112 (alta concentración), con la Municipalidad formulando 750 registros (63,5% del total BIP), sugiriendo dependencia de fuente única (Análisis BIP 2025).</t>
  </si>
  <si>
    <t>Proyectos rezagados catastrados; Proyectos reactivados; Inversión recuperada (pesos)</t>
  </si>
  <si>
    <t>Sin catastro formal de proyectos rezagados</t>
  </si>
  <si>
    <t>Catastro completo + reactivación de 80% proyectos viables + plan de recuperación</t>
  </si>
  <si>
    <t>100% proyectos rezagados resueltos + sistema de alerta temprana de retrasos</t>
  </si>
  <si>
    <t>SECPLAN + DOM + Administración Municipal</t>
  </si>
  <si>
    <t>Municipal + FNDR + GORE + Ministerios sectoriales</t>
  </si>
  <si>
    <t>Supervisión y Evaluación: Calidad Administrativa</t>
  </si>
  <si>
    <t>Crear unidad de supervisión y evaluación de calidad administrativa que realice auditorías de procesos, encuestas de satisfacción y mejoramiento continuo de servicios municipales.</t>
  </si>
  <si>
    <t>La encuesta ciudadana (n=119) califica servicios municipales entre 2,82 y 3,35/5, con seguridad del sector en 2,83/5 (más bajo). El ranking SUBDERE cayó de 80% a 58,4% con nuevo instrumento de 26 ámbitos (380 pts). La Contraloría emitió 24 instrumentos con hallazgos de control interno débil en 7 documentos. Las áreas prioritarias de mejora según SUBDERE son: Desarrollo de Estrategia, Enfoque de Género y Gestión Local Participativa. Rengo mantiene 15 conexiones directas en red de similitud regional (umbral &gt;=68,5%), permitiendo benchmarking (SUBDERE 2023).</t>
  </si>
  <si>
    <t>Auditorías de procesos realizadas; Índice de satisfacción ciudadana; No conformidades resueltas</t>
  </si>
  <si>
    <t>Sin unidad formal de supervisión y calidad</t>
  </si>
  <si>
    <t>Unidad operativa + auditorías semestrales + encuesta anual de satisfacción</t>
  </si>
  <si>
    <t>Sistema de calidad certificado + mejora continua + satisfacción &gt;80%</t>
  </si>
  <si>
    <t>Administración Municipal + Contraloría Interna</t>
  </si>
  <si>
    <t>OE 6.1 Unidad M&amp;E PLADECO</t>
  </si>
  <si>
    <t>Innovación Municipal</t>
  </si>
  <si>
    <t>Fortalecimiento Unidad de Control Interno</t>
  </si>
  <si>
    <t>Dotar a Control Interno de recursos, atribuciones y personal para cumplir mandato legal de fiscalización.</t>
  </si>
  <si>
    <t>CGR Informe N 894-17: Unidad de Control no cumple función normativa. Instrucciones CGR cumplidas parcial o tardíamente. 5 instrumentos de control sobre Edificio Consistorial en 4 años. Ejecución inversiones cayo de 76% a 32,2%.</t>
  </si>
  <si>
    <t>Unidad fortalecida; plan anual auditoria</t>
  </si>
  <si>
    <t>Unidad sin recursos ni atribuciones</t>
  </si>
  <si>
    <t>3+ profesionales y plan anual</t>
  </si>
  <si>
    <t>Auditoría integral anual</t>
  </si>
  <si>
    <t>Contraloría Interna + Alcaldía</t>
  </si>
  <si>
    <t>Planificación Estratégica</t>
  </si>
  <si>
    <t>Integración PACCC en PLADECO: Coherencia Climática Explícita</t>
  </si>
  <si>
    <t>Incorporar la variable climática como dimensión estructurante del PLADECO, no como eje sectorial residual, articulando indicadores MRV del PACCC con el sistema de seguimiento PLADECO.</t>
  </si>
  <si>
    <t>El PACCC y el Diagnóstico Institucional coinciden: la articulación PACCC-PLADECO es una brecha crítica (Nivel 1-Ausente). La LMCC (Ley 21.455) establece actualización cuatrienal sincronizada. La matriz de coherencia muestra que el PLADECO aparece como oportunidad de integración en los 7 lineamientos PACCC. Sin integración explícita, el PACCC se convierte en documento declarativo. Metricas climáticas mínimas: emisiones GEI per cápita, % cobertura boscosa, días escasez hídrica, % medidas PACCC con avance.</t>
  </si>
  <si>
    <t>Capítulo climático en PLADECO; indicadores MRV integrados; matriz coherencia cruzada</t>
  </si>
  <si>
    <t>PACCC vigente sin articulación con PLADECO</t>
  </si>
  <si>
    <t>Capítulo climático + 5 indicadores MRV</t>
  </si>
  <si>
    <t>Primera actualización sincronizada PACCC-PLADECO</t>
  </si>
  <si>
    <t>SECPLAN + Aseo y Ornato + Unidad CC</t>
  </si>
  <si>
    <t>Gestión Administrativa</t>
  </si>
  <si>
    <t>Sistema de Evaluación de Ejecución Presupuestaria y Plan de Compras</t>
  </si>
  <si>
    <t>Establecer un sistema de informes trimestrales de ejecución presupuestaria y cumplimiento del plan de compras que comparar lo planificado versus lo ejecutado por cada dirección municipal, con tasa de ejecucion, alertas de desviación y retroalimentación al Concejo para fortalecer la disciplina fiscal de Rengo.</t>
  </si>
  <si>
    <t>El Diagnóstico Institucional identifica que no existen informes de cumplimiento de planes de compras de ejercicios anteriores. No hay indicadores de ejecución presupuestaria ni metas de eficiencia financiera. IPP solo 34,6% del ingreso total; FCM 55,8%. Gastos corrientes absorben 82,1% del gasto total dejando margen reducido para inversión. Sin Plan de Inversiones Comunal ni priorización de proyectos basada en PLADECO.</t>
  </si>
  <si>
    <t>Tasa ejecución Plan Compras; % ejecución presupuestaria; reportes trimestrales</t>
  </si>
  <si>
    <t>Sin medición de ejecución</t>
  </si>
  <si>
    <t>Tasa ejecución &gt;= 75% + 4 reportes/ano</t>
  </si>
  <si>
    <t>Tasa ejecución &gt;= 90% + Plan Inversiones Comunal</t>
  </si>
  <si>
    <t>DAF + SECPLAN</t>
  </si>
  <si>
    <t>OE 6.2 Actualizar Política RRHH</t>
  </si>
  <si>
    <t>Actualización Integral Política de Recursos Humanos</t>
  </si>
  <si>
    <t>Actualizar Política RRHH (Decreto 1248/2018) con genero, bienestar laboral, competencias digitales y plan sucesión.</t>
  </si>
  <si>
    <t>Política RRHH 7 años sin actualizar. 7 brechas críticas: sin perspectiva género, sin bienestar laboral, sin competencias digitales, sin teletrabajo, Ley 20.922 parcial, sin indicadores RRHH, sin plan sucesión. 939 funcionarios, 34,5% profesionalización. Gasto personal 74,0%.</t>
  </si>
  <si>
    <t>Política actualizada y aprobada</t>
  </si>
  <si>
    <t>Decreto 1248/2018 (7 años)</t>
  </si>
  <si>
    <t>Política con 7 brechas cerradas</t>
  </si>
  <si>
    <t>Evaluación bienal + indicadores</t>
  </si>
  <si>
    <t>RRHH + Administracion</t>
  </si>
  <si>
    <t>ODS 5, 8, 16</t>
  </si>
  <si>
    <t>Protección Derechos Laborales</t>
  </si>
  <si>
    <t>Actualización Protocolo Acoso conforme Ley Karin (N 21.643)</t>
  </si>
  <si>
    <t>Actualizar Protocolo de Prevención del Acoso (Dec. 1807/2023) incorporando violencia en el trabajo, extensión a terceros, capacitación semestral obligatoria y registro de denuncias.</t>
  </si>
  <si>
    <t>El Análisis Normativo identifica 5 brechas críticas y 3 menores respecto a la Ley Karin (vigente agosto 2024): (1) violencia en el trabajo no contemplada como categoría autónoma; (2) capacitación semestral obligatoria no programada; (3) registro institucional de denuncias no evidenciado; (4) extensión a contratistas/terceros insuficiente; (5) difusión semestral no programada. Riesgo: multas DT 5-100 UTM, demandas laborales, responsabilidad funcionaria. URGENCIA: 90 días.</t>
  </si>
  <si>
    <t>Protocolo actualizado; % personal capacitado; N denuncias gestionadas en plazo</t>
  </si>
  <si>
    <t>Protocolo de nov-2023 pre-Ley Karin; 5 brechas críticas</t>
  </si>
  <si>
    <t>Protocolo actualizado + 100% capacitados</t>
  </si>
  <si>
    <t>2 capacitaciones semestrales/ano + registro digital</t>
  </si>
  <si>
    <t>Asesoría Jurídica + RRHH</t>
  </si>
  <si>
    <t>Desarrollo Capital Humano</t>
  </si>
  <si>
    <t>Diagnóstico de Brechas de Competencias y Plan Multi-Fuente de Capacitación</t>
  </si>
  <si>
    <t>Realizar diagnóstico de competencias del personal y desarrollar plan de capacitación con fuentes diversificadas (SUBDERE + recursos propios + convenios universitarios).</t>
  </si>
  <si>
    <t>El Diagnóstico Institucional identifica 4 brechas en capital humano: (1) dependencia exclusiva del Fondo SUBDERE sin otras fuentes; (2) ausencia de diagnóstico de brechas de competencias; (3) desarticulación con otros instrumentos (sin formación en integridad, Ley Karin ni cambio climático); (4) reglamento de capacitacion de 2011 con 14 años sin actualizar (Dec. 0626/2011). El Plan de Capacitación define áreas prioritarias pertinentes pero no está precedido de evaluación de competencias actuales.</t>
  </si>
  <si>
    <t>Informe de brechas aprobado; N convenios universitarios; plan multi-fuente aprobado</t>
  </si>
  <si>
    <t>Sin diagnóstico de brechas; fuente única SUBDERE; reglamento 2011</t>
  </si>
  <si>
    <t>Diagnóstico + 1 convenio + reglamento actualizado</t>
  </si>
  <si>
    <t>Plan multi-fuente + 2 convenios + 55% profesionalización</t>
  </si>
  <si>
    <t>RRHH + SECPLAN + DAF</t>
  </si>
  <si>
    <t>Municipal + SUBDERE + SENCE + universidades regionales</t>
  </si>
  <si>
    <t>ODS 4, 8</t>
  </si>
  <si>
    <t>Plan Convivencia Laboral y Cumplimiento Ley Karin (21.643)</t>
  </si>
  <si>
    <t>Capacitación universal Ley 21.643, protocolos denuncia segura, intervención microagresiones y seguimiento casos.</t>
  </si>
  <si>
    <t>43% funcionarios desconoce Ley Karin. 22% disputas laborales. 20% bromas desagradables. 4 casos acoso sexual (3%). DAEM 170+ sumarios activos. Encuesta (n=116): solo 48% percibe relevancia laboral.</t>
  </si>
  <si>
    <t>100% capacitados; protocolo operativo</t>
  </si>
  <si>
    <t>43% desconoce Ley Karin; 170+ sumarios</t>
  </si>
  <si>
    <t>100% capacitados + protocolo + canal</t>
  </si>
  <si>
    <t>Evaluación clima anual</t>
  </si>
  <si>
    <t>RRHH + Jurídica</t>
  </si>
  <si>
    <t>ODS 5, 8</t>
  </si>
  <si>
    <t>Plan de Profesionalizacion y Capacitacion Continua</t>
  </si>
  <si>
    <t>Programa de profesionalización progresiva de 34,5% a 55% al 2035 con convenios universitarios y SENCE.</t>
  </si>
  <si>
    <t>Profesionalización 34,5% (26 de 33 comunas). Solo 44 de 120 planta son profesionales (37%). 52% desconoce flujogramas. 62% demanda modernización. Contrata creció +15,8% en 2023-2024. Gasto personal 74,0% del total ($46.235M).</t>
  </si>
  <si>
    <t>% profesionales; N capacitaciones/año</t>
  </si>
  <si>
    <t>34,5% profesionalización</t>
  </si>
  <si>
    <t>45% + plan capacitación anual</t>
  </si>
  <si>
    <t>55% + certificaciones</t>
  </si>
  <si>
    <t>RRHH + SECPLAN</t>
  </si>
  <si>
    <t>Municipal + SUBDERE + SENCE</t>
  </si>
  <si>
    <t>OE 6.2 Fortalecer capacidades del recurso humano municipal mediante capacitación y desarrollo profesional</t>
  </si>
  <si>
    <t>Equipo de Gobierno, Administración y Gestión</t>
  </si>
  <si>
    <t>Fortalecer el equipo directivo y de gestión municipal mediante selección por competencias, capacitación en liderazgo público, evaluación de desempeño y desarrollo de carrera funcionaria.</t>
  </si>
  <si>
    <t>La profesionalización municipal es 34,5% entre 939 funcionarios, con estructura de 49,5% planta, 20,9% contrata y 29,6% honorarios. El ranking SUBDERE cayó de 80% a 58,4% y la encuesta funcionaria (n=116) muestra solo 48% de percepción de relevancia laboral. La capacitación es priorizada por 34% de funcionarios. El patrimonio municipal paso de -$1.460M (2012) a +$9.400M (2023, +$10.860M), con transparencia CPLT mejorando de 16,41% a 97,89%. Sin embargo, el gasto corriente de 84,57% y gasto en personal de 74,0% (sobre umbral CGR de 70%) limitan inversión (SINIM 2024).</t>
  </si>
  <si>
    <t>Directivos capacitados en gestión pública; Evaluaciones de desempeño realizadas; Mejora en indicadores de gestión</t>
  </si>
  <si>
    <t>Capacitación directiva esporádica sin plan de desarrollo</t>
  </si>
  <si>
    <t>100% equipo directivo con plan de desarrollo + evaluación anual + capacitación</t>
  </si>
  <si>
    <t>Sistema de alta dirección pública local + carrera funcionaria + liderazgo de excelencia</t>
  </si>
  <si>
    <t>Alcaldía + RRHH + Administración Municipal</t>
  </si>
  <si>
    <t>Municipal + SUBDERE + Academia</t>
  </si>
  <si>
    <t>Modernización del Código de Ética Municipal</t>
  </si>
  <si>
    <t>Actualizar y fortalecer el código de ética municipal, implementando sistema de declaración de intereses, capacitación en probidad, canal de denuncias y comité de ética con participación ciudadana.</t>
  </si>
  <si>
    <t>La Contraloría emitió 24 instrumentos de control en 15 años con 3 derivaciones al Ministerio Público y hallazgos de fraccionamiento reiterado de contratos. El diagnóstico normativo identifica 63,6% de decretos vigentes con más de 20 años. La encuesta funcionaria (n=116) reporta 22% de disputas laborales y 3% de acoso sexual. Rengo cuenta con 65.786 hab. (Censo INE 2024), 4.829 empresas (1a regional) y un BHT promedio de 0,537, con 44,9% de poblacion en quintiles inferiores. La correlacion socioeconomica-BHT (r=0,831) evidencia que las intervenciones sociales son el principal motor de bienestar territorial (Diagnostico PLADECO 2025).</t>
  </si>
  <si>
    <t>Código de ética actualizado; Funcionarios capacitados en probidad; Denuncias gestionadas por canal ético</t>
  </si>
  <si>
    <t>Código de ética desactualizado sin mecanismos de control</t>
  </si>
  <si>
    <t>Código actualizado + 100% funcionarios capacitados + canal de denuncias operativo</t>
  </si>
  <si>
    <t>Sistema de integridad institucional + evaluación periódica + cultura ética instalada</t>
  </si>
  <si>
    <t>Administración Municipal + RRHH + Jurídica</t>
  </si>
  <si>
    <t>Municipal + Contraloría</t>
  </si>
  <si>
    <t>OE 6.3 Implementar sistema ERP y transformación digital de la gestión municipal</t>
  </si>
  <si>
    <t>Edificio Municipal Consistorial "Rosario Unido"</t>
  </si>
  <si>
    <t>Estudiar la construcción o remodelar edificio municipal consistorial que integre servicios municipales, accesibilidad universal, eficiencia energética y espacios ciudadanos en infraestructura moderna y funcional.</t>
  </si>
  <si>
    <t>La infraestructura municipal actual limita la calidad del servicio para 65.786 habitantes con 939 funcionarios y 34,5% de profesionalización. El patrimonio municipal creció de -$1.460M (2012) a $9.400M (2023), permitiendo inversión en infraestructura. El gasto en personal (74%) supera umbral CGR de 70%. La CGR emitió 5 instrumentos de control sobre el Edificio Consistorial en solo 4 años, evidenciando problemática recurrente. El control interno es débil: sin manuales formales y funciones concentradas (CGR Informe N 894-17).</t>
  </si>
  <si>
    <t>Avance de proyecto (diseño/construcción); Servicios integrados; Satisfacción ciudadana con infraestructura</t>
  </si>
  <si>
    <t>Infraestructura municipal dispersa y deteriorada</t>
  </si>
  <si>
    <t>Diseño aprobado + inicio de construcción/remodelación</t>
  </si>
  <si>
    <t>Edificio consistorial operativo + 100% servicios integrados + accesibilidad universal</t>
  </si>
  <si>
    <t>Municipal + FNDR + GORE + SUBDERE</t>
  </si>
  <si>
    <t>Innovación Municipal: Rengo Digital</t>
  </si>
  <si>
    <t>Desplegar una estrategia de transformación digital municipal que integre sistema ERP, tramites en línea, firma electrónica avanzada, expediente digital, atencion virtual ciudadana y modernización tecnológica de procesos internos de las 13 unidades municipales, elevando el IIGAM desde el actual 57% de cumplimiento.</t>
  </si>
  <si>
    <t>El ranking SUBDERE cayó de 80% a 58,4% de logro, evidenciando rezago en modernización. La encuesta funcionaria (n=116) prioriza modernizar procesos (62%) y fortalecer coordinación interdepartamental (45%). Las licitaciones municipales (1.000 procesos, $7.011M) muestran 58,9% de presupuestos no publicados, requiriendo transparencia digital. La Ley 21.180 de transformación digital del Estado exige modernización. Solo 11% de ciudadania usa tramites online frecuentemente y 6% conoce el Plan de Emergencias municipal, evidenciando "abismo informacional" como brecha más pronunciada del diagnóstico (Encuesta ciudadana n=119).</t>
  </si>
  <si>
    <t>Trámites digitalizados; Usuarios de plataforma digital; Reducción de tiempos de tramitación</t>
  </si>
  <si>
    <t>Trámites mayoritariamente presenciales sin ERP integrado</t>
  </si>
  <si>
    <t>ERP operativo + 60% trámites en línea + firma electrónica + expediente digital</t>
  </si>
  <si>
    <t>100% trámites digitales + IA en gestión + municipio paperless</t>
  </si>
  <si>
    <t>Informática + Administración Municipal + SECPLAN</t>
  </si>
  <si>
    <t>Municipal + SUBDERE + FNDR + CORFO</t>
  </si>
  <si>
    <t>OE 6.3 Plataforma digital participación</t>
  </si>
  <si>
    <t>Mapeo Digital</t>
  </si>
  <si>
    <t>Crear Cartografias Digitales para convertirse en suministros para las Instituciones Públicas en la Comuna</t>
  </si>
  <si>
    <t>Desarrollar una plataforma de cartografía digital institucional que integre las 21 Unidades Vecinales del territorio comunal en capas temáticas de riesgo, infraestructura, equipamiento público y variables socioeconómicas. El sistema GIS municipal permitirá a SECPLAN, DOM, Bomberos, DIDECO y organismos sectoriales visualizar el territorio en tiempo real para la focalización eficiente de la inversión, el cumplimiento de la Ley 21.180 de Transformación Digital del Estado y la articulación con el GORE O'Higgins en la gestión del desarrollo comunal.</t>
  </si>
  <si>
    <t>Solo el 11% de los ciudadanos usa trámites online y la municipalidad carece de cartografías digitales actualizadas. El GORE señala que la conectividad digital es un elemento de política pública fundamental. La Ley 21.180 de Transformación Digital del Estado exige que los municipios dispongan de información territorial en formato digital. Las 21 UVs levantadas carecen de cartografía digital integrada con variables socioeconómicas, de riesgo e infraestructura, lo que impide la focalización eficiente de la inversión y la coordinación con instituciones como GORE, SEREMI, Bomberos y hospitales.</t>
  </si>
  <si>
    <t>N° de cartografías digitales temáticas creadas; N° instituciones con acceso al sistema GIS; Capas temáticas disponibles (UV, riesgo, infraestructura)</t>
  </si>
  <si>
    <t>Sin sistema de cartografía digital institucional integrado; información territorial en formato análogo</t>
  </si>
  <si>
    <t>Plataforma GIS municipal operativa; 5 cartografías temáticas disponibles; 8 instituciones con acceso</t>
  </si>
  <si>
    <t>21 UVs mapeadas digitalmente; plataforma de datos abiertos al público; 15 instituciones integradas</t>
  </si>
  <si>
    <t>SECPLAN + Unidad de Informática + DOM</t>
  </si>
  <si>
    <t>ODS 9, 11, 16, 17</t>
  </si>
  <si>
    <t>Transformación Digital</t>
  </si>
  <si>
    <t>Plan de Implementación Ley 21.180 de Transformación Digital</t>
  </si>
  <si>
    <t>Articular con SGD el acceso a activos digitales transversales (Doc Digital, Domicilio Digital Único) y preparar las fases de comunicación electrónica obligatoria.</t>
  </si>
  <si>
    <t>El Análisis Web documenta que Rengo supera ampliamente la media regional (0,573 vs 0,846) pero solo 4,4% de funcionarios municipales a nivel nacional percibe a su municipio muy avanzado en Gobierno Digital. La Ley 21.180 obliga digitalización completa para dic-2027. Riesgo de cumplimiento aparente: activar plataformas sin transformación real. 20,5% población rural tiene menor penetración digital. IDH 0,571 (tramo medio-bajo). Designar Encargado TIC como punto de contacto SGD.</t>
  </si>
  <si>
    <t>% procedimientos digitalizados; Encargado TIC designado; EN activos SGD implementados</t>
  </si>
  <si>
    <t>Sin Encargado TIC; sin plan Ley 21.180</t>
  </si>
  <si>
    <t>Encargado TIC + Doc Digital operativo + 50% procedimientos</t>
  </si>
  <si>
    <t>100% procedimientos + interoperabilidad + domicilio digital</t>
  </si>
  <si>
    <t>Informatica + Administracion + SECPLAN</t>
  </si>
  <si>
    <t>Municipal + SGD + SUBDERE</t>
  </si>
  <si>
    <t>Plataforma Vecino Digital y Participación Ciudadana Online</t>
  </si>
  <si>
    <t>Desarrollar plataforma digital de participación que permita reportar problemas, hacer seguimiento de solicitudes y acceder a registros municipales, con SLA definidos.</t>
  </si>
  <si>
    <t>El Análisis Web identifica como brecha critica la ausencia de Plataforma Vecino Digital. Rengo lidera Índice Web Municipal en O"Higgins (0,846/1,000, 1 de 33 comunas) con 22 de 26 indicadores. Pero existe riesgo de efecto boomerang: plataformas sin respuesta institucional deterioran confianza. La Ventanilla Única (Google Apps Script) es antecedente valioso pero requiere escalamiento. La Ley 21.180 de Transformación Digital exige digitalización completa para 2027.</t>
  </si>
  <si>
    <t>Plataforma operativa; N reclamos gestionados; tiempo promedio respuesta</t>
  </si>
  <si>
    <t>Sin Plataforma Vecino Digital; Ventanilla Única basica</t>
  </si>
  <si>
    <t>Plataforma operativa + SLA &lt; 5 días</t>
  </si>
  <si>
    <t>Integración con App móvil + &gt; 1.000 usuarios activos</t>
  </si>
  <si>
    <t>Informática + SECPLAN + Innovación y Gestión</t>
  </si>
  <si>
    <t>Municipal + SUBDERE + SGD</t>
  </si>
  <si>
    <t>Transparencia Digital</t>
  </si>
  <si>
    <t>Publicación Digital de Sesiones del Concejo y Boletines Ciudadanos</t>
  </si>
  <si>
    <t>Publicar actas y video de sesiones del Concejo Municipal periódicamente, e implementar boletines informativos digitales con suscripción ciudadana.</t>
  </si>
  <si>
    <t>El Análisis Web identifica 4 brechas para alcanzar Indice Web 1,000: sesiones del Concejo online, boletines informativos, Plataforma Vecino Digital y App móvil. Las sesiones del Concejo son brecha de transparencia democrática de baja complejidad y alto impacto, alineada con Ley 20.285. Boletines son herramienta de comunicación proactiva de bajo costo. La participación electoral de Rengo es 91,4% (SERVEL 2024), evidenciando ciudadanía activa que demanda rendicion de cuentas.</t>
  </si>
  <si>
    <t>Sesiones publicadas; N suscriptores boletín; frecuencia publicacion</t>
  </si>
  <si>
    <t>Sin sesiones online; sin boletines digitales</t>
  </si>
  <si>
    <t>100% sesiones publicadas + boletín mensual</t>
  </si>
  <si>
    <t>Video sesiones + boletín quincenal + &gt; 2.000 suscriptores</t>
  </si>
  <si>
    <t>Secretaria Municipal + Comunicaciones</t>
  </si>
  <si>
    <t>OE 6.4 Crear Unidad Medio Ambiente</t>
  </si>
  <si>
    <t>Actualización Reglamento Organización Interna Municipal</t>
  </si>
  <si>
    <t>Modificar Reglamento (Decreto 1778/2018, mod. 1287/2022) para crear Unidad MA, elevar Des. Económico a Dirección y reestructurar organigrama.</t>
  </si>
  <si>
    <t>Organigrama con 13 unidades tiene 3 brechas estructurales: (1) Sin Unidad MA para Eje 4; (2) Dpto. Des. Económico sin rango Direccion; (3) Sin unidad Turismo/Cultura para Eje 1. DIDECO, SECPLAN, DOM, Salud y DSP concentran &gt;70% carga operativa.</t>
  </si>
  <si>
    <t>Reglamento actualizado</t>
  </si>
  <si>
    <t>3 brechas estructurales</t>
  </si>
  <si>
    <t>Unidad MA + Dir. Des. Económico</t>
  </si>
  <si>
    <t>Evaluación alineamiento</t>
  </si>
  <si>
    <t>Alcaldía + Jurídica + Concejo</t>
  </si>
  <si>
    <t>Creación Unidad de Medio Ambiente Municipal</t>
  </si>
  <si>
    <t>Constituir formalmente la Unidad de Medio Ambiente en el Reglamento Municipal de Rengo, dotándola de profesionales especializados, presupuesto asignado y un plan de acción climática comunal que aborde gestión de residuos, calidad del aire, protección de ecosistemas del Río Claro y educación ambiental territorial.</t>
  </si>
  <si>
    <t>No existe Unidad MA en organigrama. Sin Plan Climático. 1,96 m2/hab areas verdes. Crisis hídrica -30-35%. 110 incendios 2010-2018. 80% especies exóticas. Centros reciclaje convertidos en microbasurales.</t>
  </si>
  <si>
    <t>Unidad creada; Plan Climático</t>
  </si>
  <si>
    <t>Sin Unidad MA</t>
  </si>
  <si>
    <t>Unidad con 2+ profesionales + Plan</t>
  </si>
  <si>
    <t>Evaluación ambiental bienal</t>
  </si>
  <si>
    <t>Municipal + MMA</t>
  </si>
  <si>
    <t>R5: Ordenanza de Medio Ambiente y Sustentabilidad</t>
  </si>
  <si>
    <t>Crear ordenanza que regule áreas verdes, arbolado urbano, calidad del aire, gestión Rio Claro y adaptacion climatica.</t>
  </si>
  <si>
    <t>No existe ordenanza ambiental. Crisis hídrica -30-35% precipitaciones. Demanda agua 220,8 hm3/año. 110 incendios 2010-2018. Pérdida 3.950 ha agrícolas (-26%). Sin Unidad de Medio Ambiente en organigrama (OE 6.4).</t>
  </si>
  <si>
    <t>Ordenanza ambiental aprobada</t>
  </si>
  <si>
    <t>Sin ordenanza ambiental</t>
  </si>
  <si>
    <t>Ordenanza + Plan Climático</t>
  </si>
  <si>
    <t>Evaluación impacto cada 3 años</t>
  </si>
  <si>
    <t>Unidad MA + SECPLAN</t>
  </si>
  <si>
    <t>Municipal + MMA + FNDR</t>
  </si>
  <si>
    <t>ODS 6, 13, 15</t>
  </si>
  <si>
    <t>OE 6.4 Fortalecer gestión ambiental y eficiencia en uso de recursos municipales</t>
  </si>
  <si>
    <t>Modernización de Cuadrillas de Aseo y Ornato</t>
  </si>
  <si>
    <t>Modernizar operación de cuadrillas de aseo y ornato municipal con planificación por rutas optimizadas, equipamiento renovado, uniformes, capacitación y sistema de reporte ciudadano de necesidades.</t>
  </si>
  <si>
    <t>Con 1,96 m2/hab de áreas verdes (60% césped amarillento, 70% plazas sin riego), las cuadrillas de aseo requieren optimización. El levantamiento de espacio público identifica 57+ puntos con mantención deficiente y microbasurales en bordes rurales y cauces. Las licitaciones de áreas verdes y parques representan 52 procesos (5,2% del total). La contaminación y falta de limpieza es mencionada como problema por 41% de ciudadanía (49 menciones, 2o lugar tras inseguridad). El medio ambiente es prioritario para 30% de ciudadanía, 38% de NNA y 27% de funcionarios (Encuesta ciudadana n=119).</t>
  </si>
  <si>
    <t>Rutas de aseo optimizadas; Tiempo de respuesta ante reportes; Satisfacción ciudadana con aseo</t>
  </si>
  <si>
    <t>Cuadrillas con operación tradicional sin optimización de rutas</t>
  </si>
  <si>
    <t>Rutas optimizadas + equipamiento renovado + app de reporte ciudadano</t>
  </si>
  <si>
    <t>Sistema inteligente de gestión de aseo + vehículos eléctricos + ISO 14001</t>
  </si>
  <si>
    <t>Dirección Aseo y Ornato + Administración</t>
  </si>
  <si>
    <t>ODS 11, 12</t>
  </si>
  <si>
    <t>OE 6.5 Direccion Desarrollo Economico</t>
  </si>
  <si>
    <t>Creación Dirección de Desarrollo Económico Local</t>
  </si>
  <si>
    <t>Elevar el actual Departamento de Desarrollo Económico a Dirección Municipal con planta profesional especializada, presupuesto propio y plan estratégico orientado a fortalecer las 4.829 empresas comunales, reducir la estacionalidad del 57% del empleo y articular la oferta formativa con la demanda productiva local.</t>
  </si>
  <si>
    <t>Opera sin rango Direccion con capacidad limitada pese a 4.829 empresas (1 regional). Solo 3 profesionales. IPP $6.155M (34,6%). Pobreza 5,4%. Dependencia agrícola estacional. Pérdida 3.950 ha. OMIL 500+ pero sin reconversión.</t>
  </si>
  <si>
    <t>Dirección creada y operativa</t>
  </si>
  <si>
    <t>Departamento sin rango</t>
  </si>
  <si>
    <t>Dirección con 5+ profesionales y PC DEL</t>
  </si>
  <si>
    <t>Evaluacion gestion</t>
  </si>
  <si>
    <t>Alcaldía + Jurídica</t>
  </si>
  <si>
    <t>OE 6.5 Promover desarrollo económico local y emprendimiento comunitario</t>
  </si>
  <si>
    <t>Alianzas Estratégicas Público-Privado-Sociedad Civil</t>
  </si>
  <si>
    <t>Establecer alianzas estratégicas con sector privado, academia y sociedad civil para cofinanciar proyectos, transferir tecnología, desarrollar emprendimiento y fortalecer tejido productivo comunal.</t>
  </si>
  <si>
    <t>Rengo tiene 330 organizaciones comunitarias activas y 4.829 empresas (1a en región), potencial para alianzas estratégicas. La dependencia de transferencias es 75,2% y los ingresos propios solo 9%. El ICD evolucionó de 0,10 a 0,88 demostrando capacidad de gestión para atraer inversión privada. La estructura empresarial muestra 953 unidades en manufactura (1a regional, +256%), 834 en comercio (1a, +337%) y 714 en construcción (1a, +303%). Los 12.453 trabajadores en microempresas (78,3%) evidencian predominio de empleo en pequeña escala (SINIM 2024).</t>
  </si>
  <si>
    <t>Alianzas formalizadas; Inversión privada apalancada; Proyectos conjuntos ejecutados</t>
  </si>
  <si>
    <t>Alianzas público-privadas esporádicas sin estrategia</t>
  </si>
  <si>
    <t>10 alianzas estratégicas + mesa público-privada permanente</t>
  </si>
  <si>
    <t>20 alianzas + ecosistema de innovación + inversión privada significativa</t>
  </si>
  <si>
    <t>SECPLAN + Desarrollo Económico + Alcaldía</t>
  </si>
  <si>
    <t>Municipal + Sector Privado + Universidades + CORFO</t>
  </si>
  <si>
    <t>ODS 8, 17</t>
  </si>
  <si>
    <t>Mejoramiento de Juzgado de Policía Local: Atención Web y Presencial</t>
  </si>
  <si>
    <t>Promover procesos de atención y resolución de casos por internet para la mejora de la atención, desconcentración de atención a público y enriquecer experiencia usuaria.</t>
  </si>
  <si>
    <t>Según Diagnóstico PLADECO 2025, el PLADECO anterior alcanzó sólo 40% de cumplimiento, gasto en personal absorbe 74,0% del presupuesto, ejecución de inversiones apenas 32,2%, IIGAM 57%, se registran 170+ sumarios DAEM, 43% desconoce Ley Karin, y profesionalización alcanza solo 34,5%. La modernización es urgente para los 65.786 habitantes. La modernización del Juzgado de Policía Local es clave para mejorar acceso a justicia local de 65.786 habitantes.</t>
  </si>
  <si>
    <t>Plataforma web implementada; Casos resueltos en línea (%); Tiempo promedio resolucion</t>
  </si>
  <si>
    <t>Atención Integral al Ciudadano: Asesoría Jurídica, Contable y Social</t>
  </si>
  <si>
    <t>Crear oficina de atención integral al ciudadano que ofrezca asesoría jurídica, contable, social y orientación en trámites públicos de manera gratuita para vecinos de Rengo.</t>
  </si>
  <si>
    <t>La pobreza multidimensional alcanza 13,6% (8.600 personas) y la vulnerabilidad FONASA A+B es 62,5%. La encuesta ciudadana (n=119) califica servicios entre 2,82 y 3,35/5, con programas sociales familiares en 3,08. Las 88 personas en situación de calle y 7.256 PcD (12,1%) requieren asesoría integral accesible. Rengo cuenta con 65.786 hab. (Censo INE 2024), 4.829 empresas (1a regional) y un BHT promedio de 0,537, con 44,9% de población en quintiles inferiores. La correlación socioeconómica-BHT (r=0,831) evidencia que las intervenciones sociales son el principal motor de bienestar territorial (Diagnóstico PLADECO 2025).</t>
  </si>
  <si>
    <t>Atenciones realizadas por tipo; Casos resueltos; Satisfacción de usuarios</t>
  </si>
  <si>
    <t>Asesoría fragmentada en distintas dependencias</t>
  </si>
  <si>
    <t>Oficina integral operativa + 1,000 atenciones anuales + evaluación satisfacción</t>
  </si>
  <si>
    <t>Red de oficinas + atención digital + 3,000 atenciones anuales + convenios universidades</t>
  </si>
  <si>
    <t>DIDECO + Jurídica + Administración Municipal</t>
  </si>
  <si>
    <t>Municipal + Universidades + Colegios Profesionales</t>
  </si>
  <si>
    <t>ODS 1, 10, 16</t>
  </si>
  <si>
    <t>Desconcentración de Servicios"Rengo Atiende en el territorio"</t>
  </si>
  <si>
    <t>Descentralizar servicios municipales hacia localidades rurales mediante oficinas satélite, atención itinerante y plataformas digitales para trámites, permisos y consultas sin necesidad de trasladarse al centro.</t>
  </si>
  <si>
    <t>La dispersión territorial de Rengo (65.786 haben 592 km2) dificulta acceso a servicios: distritos rurales como Chanqueahue (232,5 km2) y Popeta (142,9 km2) tienen &lt;30 hab/km2. La brecha territorial es reconocida por 82% de funcionarios (n=116). El BIP rural representa sólo $113 MM (11,5% de inversión total). Las localidades rurales son percibidas como "el patio trasero de la comuna" segun la etnografia social, con BIP rural representando solo $113 MM (11,5%) vs Rengo Centro $960 MM (87,2%). Los servicios municipales evaluados obtienen rango 2,82-3,35/5 (Etnografía Social 2025; Análisis BIP 2025).</t>
  </si>
  <si>
    <t>Localidades con servicio municipal desconcentrado; Trámites realizados en localidades; Satisfacción ciudadana rural</t>
  </si>
  <si>
    <t>Servicios municipales concentrados en edificio central</t>
  </si>
  <si>
    <t>5 oficinas satélite + atención itinerante mensual en 100% localidades</t>
  </si>
  <si>
    <t>10 oficinas + plataforma digital de trámites + 100% servicios accesibles remotamente</t>
  </si>
  <si>
    <t>Municipal + SUBDERE + FNDR</t>
  </si>
  <si>
    <t>ODS 9, 10, 16</t>
  </si>
  <si>
    <t>OE 6.6 Fortalecer la cuenta pública y la rendición de cuentas participativa</t>
  </si>
  <si>
    <t>Alianza Estratégica con Servicios Públicos: Transparencia</t>
  </si>
  <si>
    <t>Establecer convenios de colaboración con servicios públicos (SII, Registro Civil, FONASA, ChileAtiende) para descentralizar trámites estatales en dependencias municipales y mejorar acceso ciudadano.</t>
  </si>
  <si>
    <t>Los vecinos de Rengo deben trasladarse a Rancagua (23 km) para trámites estatales. El ICD mejoró de 0,10 a 0,88 demostrando capacidad de gestión para alianzas. La transparencia CPLT alcanzó 97,89% (2023), posicionando a Rengo como referente regional en gobernanza junto a Rancagua. El COSOC reporta limitaciones estructurales: requerimientos sin retroalimentación y carencia de reconocimiento. La disposición a participar es 49% afirmativa y 43% condicional, con 57% de ciudadanía perteneciendo a alguna agrupación (Encuesta ciudadana n=119; Etnografía Social 2025).</t>
  </si>
  <si>
    <t>Convenios con servicios públicos; Trámites estatales disponibles en la comuna; Usuarios atendidos</t>
  </si>
  <si>
    <t>Presencia limitada de servicios públicos en la comuna</t>
  </si>
  <si>
    <t>Convenios con 5 servicios públicos + ChileAtiende en Rengo</t>
  </si>
  <si>
    <t>10+ servicios públicos disponibles + plataforma integrada + atención completa</t>
  </si>
  <si>
    <t>Administración Municipal + Alcaldía + SECPLAN</t>
  </si>
  <si>
    <t>Municipal + Servicios Públicos + SUBDERE</t>
  </si>
  <si>
    <t>Gobierno Abierto Municipal: Co Creación de Políticas</t>
  </si>
  <si>
    <t>Establecer un modelo de gobierno abierto municipal con publicación de datos en formato abierto, presupuestos participativos vinculantes, consultas ciudadanas y plataformas digitales de creación de políticas públicas, fortaleciendo la participación de las 330 organizaciones comunitarias en la gestión de Rengo.</t>
  </si>
  <si>
    <t>La participación ciudadana muestra potencial: 49% disposición afirmativa y 43% condicional (n=119), con 330 organizaciones comunitarias activas. La transparencia CPLT mejoró de 16,41% (2012) a 97,89% (2023). El IDHC de participación creció de 0,40 a 0,65 pero es la dimensión más lenta. El COSOC reporta limitaciones estructurales: requerimientos sin retroalimentación formal y carece de reconocimiento y atribuciones. El 39% de ciudadanía comparte con vecinos y 57% pertenece a alguna agrupación (Etnografía Social 2025; Encuesta ciudadana n=119).</t>
  </si>
  <si>
    <t>Datos abiertos publicados; Consultas ciudadanas realizadas; Propuestas ciudadanas incorporadas a gestión</t>
  </si>
  <si>
    <t>Participación ciudadana limitada a consultas formales</t>
  </si>
  <si>
    <t>Portal de datos abiertos + 4 consultas anuales + presupuesto participativo</t>
  </si>
  <si>
    <t>Gobierno abierto integral + co creación permanente + índice de participación alto</t>
  </si>
  <si>
    <t>SECPLAN + Comunicaciones + DIDECO</t>
  </si>
  <si>
    <t>Municipal + SUBDERE + Sociedad Civil</t>
  </si>
  <si>
    <t>Observatorio Ciudadano de Transparencia Municipal</t>
  </si>
  <si>
    <t>Crear observatorio ciudadano de transparencia municipal que monitoree gestión, presupuesto, contrataciones y cumplimiento de compromisos con participación de sociedad civil organizada.</t>
  </si>
  <si>
    <t>La Contraloría emitió 24 instrumentos de control con 3 derivaciones al Ministerio Público y hallazgos de conflictos de interés no declarados. La transparencia CPLT alcanzó 97,89% (2023), pero la encuesta ciudadana califica servicios entre 2,82-3,35/5. Las 330 organizaciones comunitarias pueden articular contraloría social. El COSOC reporta limitaciones estructurales: requerimientos sin retroalimentación y carencia de reconocimiento. La disposición a participar es 49% afirmativa y 43% condicional, con 57% de ciudadanía perteneciendo a alguna agrupación (Encuesta ciudadana n=119; Etnografía Social 2025).</t>
  </si>
  <si>
    <t>Informes de observatorio publicados; Organizaciones participantes; Recomendaciones implementadas por el municipio</t>
  </si>
  <si>
    <t>Sin observatorio ciudadano de transparencia</t>
  </si>
  <si>
    <t>Observatorio operativo + 10 organizaciones participantes + informes semestrales</t>
  </si>
  <si>
    <t>Observatorio consolidado + 30 organizaciones + incidencia en gestión + reconocimiento nacional</t>
  </si>
  <si>
    <t>SECPLAN + DIDECO + Comunicaciones</t>
  </si>
  <si>
    <t>Municipal + Sociedad Civil + Universidades + Consejo para la Transparencia</t>
  </si>
  <si>
    <t>Plataforma de Participación Ciudadana</t>
  </si>
  <si>
    <t>Crear plataforma digital de participación ciudadana para consultas, propuestas, votaciones, presupuesto participativo y seguimiento de proyectos con transparencia y acceso universal.</t>
  </si>
  <si>
    <t>La encuesta ciudadana (n=119) muestra disposición a participar: 49% afirmativa y 43% condicional, con 330 organizaciones comunitarias activas. El IDHC de participación creció de 0,40 a 0,65 pero es la dimensión más lenta. Las 3 encuestas estructuradas (ciudadana, funcionarios, NNA) evidencian demanda de canales participativos. El patrimonio municipal paso de -$1.460M (2012) a +$9.400M (2023, +$10.860M), con transparencia CPLT mejorando de 16,41% a 97,89%. Sin embargo, el gasto corriente de 84,57% y gasto en personal de 74,0% (sobre umbral CGR de 70%) limitan inversión (SINIM 2024).</t>
  </si>
  <si>
    <t>Usuarios registrados en plataforma; Consultas ciudadanas realizadas; Propuestas ciudadanas implementadas</t>
  </si>
  <si>
    <t>Participación ciudadana principalmente presencial sin plataforma digital</t>
  </si>
  <si>
    <t>Plataforma operativa + 5,000 usuarios + presupuesto participativo digital</t>
  </si>
  <si>
    <t>15,000 usuarios + participación vinculante + co creación de políticas permanente</t>
  </si>
  <si>
    <t>SECPLAN + Comunicaciones + Informática + DIDECO</t>
  </si>
  <si>
    <t>Transparencia y Probidad "0 Tolerancia a la Corrupción"</t>
  </si>
  <si>
    <t>Fortalecer políticas de transparencia activa y pasiva, implementando auditorías internas periódicas, sistema de control interno, publicación proactiva de información y canal de denuncias ciudadano.</t>
  </si>
  <si>
    <t>La transparencia CPLT mejoró de 16,41% (2012) a 97,89% (2023), pero la Contraloría emitió 24 instrumentos con hallazgos de gastos sin respaldo (8 documentos), rendiciones deficientes (9 documentos) y 3 derivaciones penales. El diagnóstico normativo identifica 8 vacíos críticos y 50,9% de decretos son modificaciones (parcheo). El IIGAM es 0,57 (15o regional) con probidad al 75% y acceso a información al 58%, evidenciando brecha entre transparencia formal (CPLT 97,89%) e integridad institucional efectiva. Los gastos sin respaldo aparecen en 8 documentos CGR (CGR 2024).</t>
  </si>
  <si>
    <t>Índice de transparencia municipal; Auditorías realizadas; Solicitudes de transparencia atendidas en plazo</t>
  </si>
  <si>
    <t>Cumplimiento básico de transparencia activa</t>
  </si>
  <si>
    <t>100% transparencia activa + auditorías semestrales + canal de denuncias</t>
  </si>
  <si>
    <t>Certificación de transparencia + auditorías con estándares internacionales</t>
  </si>
  <si>
    <t>Administración Municipal + Contraloría Interna + Jurídica</t>
  </si>
  <si>
    <t>Municipal + Consejo para la Transparencia</t>
  </si>
  <si>
    <t>OE 6.6 Rendición cuentas pública</t>
  </si>
  <si>
    <t>Activación COSOC y Mecanismos de Participación Ciudadana</t>
  </si>
  <si>
    <t>Constituir y activar el Consejo Comunal de Organizaciones de la Sociedad Civil (COSOC) y los mecanismos de participación de la Ley 20.500.</t>
  </si>
  <si>
    <t>El Diagnóstico Institucional (Hallazgo 5) identifica déficit total de participación: no se evidencian mecanismos formales más allá de transparencia pasiva. La Ley 20.500 obliga a los municipios a contar con COSOC, ordenanza de participación, audiencias públicas y consultas ciudadanas. El art. 7 de la Ley 18.695 establece que el PLADECO debe elaborarse con participación de la comunidad local. Sin COSOC activo, el PLADECO carece de legitimidad democrática.</t>
  </si>
  <si>
    <t>COSOC constituido y sesionando; EN audiencias públicas anuales</t>
  </si>
  <si>
    <t>Sin COSOC activo ni mecanismos formales</t>
  </si>
  <si>
    <t>COSOC + 4 sesiones + 2 audiencias/ano</t>
  </si>
  <si>
    <t>6+ sesiones + consultas ciudadanas regulares</t>
  </si>
  <si>
    <t>Secretaria Municipal + DIDECO</t>
  </si>
  <si>
    <t>Aprobación Código de Ética Municipal</t>
  </si>
  <si>
    <t>Formalizar mediante decreto alcaldicio el Codigo de Etica municipal, definido como elemento mínimo del Sistema de Integridad pero aun pendiente de aprobación.</t>
  </si>
  <si>
    <t>El Diagnóstico Institucional identifica que de los 9 componentes del Sistema de Integridad, sólo 1 está plenamente cumplido. El Codigo de Etica está referenciado en la Política de Integridad (Dec. 1416/2023) como elemento mínimo normativo pero NO consta como aprobado. Solo el 40% de municipios a nivel nacional tiene Código aprobado. Rancagua (referente regional) lo aprobó en 2023. Es la brecha más significativa del sistema de integridad de Rengo.</t>
  </si>
  <si>
    <t>Código aprobado por decreto; % funcionarios que lo conocen</t>
  </si>
  <si>
    <t>Código referenciado pero no aprobado</t>
  </si>
  <si>
    <t>Código aprobado + 100% difundido</t>
  </si>
  <si>
    <t>Evaluación adherencia bienal</t>
  </si>
  <si>
    <t>Oficial de Integridad + CSI + Jurídica</t>
  </si>
  <si>
    <t>Matriz de Riesgo de Probidad e Integridad Municipal</t>
  </si>
  <si>
    <t>Diseñar matriz de riesgos de probidad que identifique y mitigue riesgos de corrupción en todas las direcciones.</t>
  </si>
  <si>
    <t>CGR emitió 24 instrumentos de control en 15 anos con 3 derivaciones al Ministerio Público. Fraccionamiento reiterado de contratos (2012, 2015, 2017). Honorarios encubiertos 2010-2021. Rendiciones deficientes 8 años. Ley 20.880 exige declaración intereses.</t>
  </si>
  <si>
    <t>Matriz aprobada y operativa</t>
  </si>
  <si>
    <t>Sin matriz de riesgo de probidad</t>
  </si>
  <si>
    <t>Matriz en 100% direcciones</t>
  </si>
  <si>
    <t>Evaluación anual + auditoria interna</t>
  </si>
  <si>
    <t>Contraloría Interna + Jurídica</t>
  </si>
  <si>
    <t>Protocolo Anticorrupción y Conflicto de Intereses</t>
  </si>
  <si>
    <t>Protocolo de prevención, detección y sanción de actos contrarios a la probidad con canal de denuncias.</t>
  </si>
  <si>
    <t>CGR detectó conflictos interes no declarados (2 documentos, 2015, gravedad MUY ALTA). Indicios responsabilidad penal en 3 documentos (CRITICA). Ley 20.880 y Ley 20.730 (lobby) con obligaciones no cumplidas. IIGAM 57% (15 regional).</t>
  </si>
  <si>
    <t>Protocolo aprobado; canal denuncias</t>
  </si>
  <si>
    <t>Sin protocolo anticorrupción formal</t>
  </si>
  <si>
    <t>Protocolo institucionalizado + 100% capacitados</t>
  </si>
  <si>
    <t>Evaluación anual; reporte CPLT y CGR</t>
  </si>
  <si>
    <t>R1: Texto Refundido de Derechos Municipales</t>
  </si>
  <si>
    <t>Elaborar un Texto Refundido que consolide las 12 o más modificaciones acumuladas en la Ordenanza de Derechos Municipales de Rengo, generando un instrumento jurídico único, actualizado y de fácil consulta para funcionarios, contribuyentes y fiscalizadores, mejorando la certeza jurídica y la recaudación comunal.</t>
  </si>
  <si>
    <t>El 63,6% de los decretos vigentes tienen más de 20 años. 55 decretos analizados, 50,9% son modificaciones. 8 vacíos normativos críticos. La normativa base fue dictada entre 1991-1996 y ha sido parcheada sin revisión integral generando antinomias jurídicas.</t>
  </si>
  <si>
    <t>Texto refundido aprobado</t>
  </si>
  <si>
    <t>12+ modificaciones dispersas</t>
  </si>
  <si>
    <t>Texto refundido publicado</t>
  </si>
  <si>
    <t>Actualización cada 5 años</t>
  </si>
  <si>
    <t>Jurídica + SECPLAN</t>
  </si>
  <si>
    <t>R3: Modernización Ordenanza de Aseo y Ornato</t>
  </si>
  <si>
    <t>Actualizar ordenanza de 1996 incorporando reciclaje, economía circular y gestión diferenciada de residuos.</t>
  </si>
  <si>
    <t>Ordenanza de aseo tiene 30 años (1996). Centros reciclaje convertidos en microbasurales. 80% especies exóticas. Sin Unidad de Medio Ambiente. Areas verdes 1,96 m2/hab (OMS 9-10). 60% césped amarillento, 70% plazas sin riego.</t>
  </si>
  <si>
    <t>Ordenanza actualizada</t>
  </si>
  <si>
    <t>Ordenanza de 1996 sin actualizar</t>
  </si>
  <si>
    <t>Ordenanza con reciclaje aprobada</t>
  </si>
  <si>
    <t>Evaluación bienal</t>
  </si>
  <si>
    <t>Aseo y Ornato + Jurídica</t>
  </si>
  <si>
    <t>R4: Catastro Normativo Digital</t>
  </si>
  <si>
    <t>Crear repositorio digital accesible con toda la normativa municipal sistematizada y buscador ciudadano.</t>
  </si>
  <si>
    <t>65 instrumentos normativos dispersos sin repositorio digital. Solo 11% ciudadania usa tramites online. 6% conoce Plan Emergencias. Ley 21.180 exige transformación digital. Abismo informacional es la brecha más pronunciada del diagnóstico.</t>
  </si>
  <si>
    <t>Portal normativo operativo</t>
  </si>
  <si>
    <t>Sin repositorio digital</t>
  </si>
  <si>
    <t>Portal con 100% normativa</t>
  </si>
  <si>
    <t>Actualización continua</t>
  </si>
  <si>
    <t>Informática + Jurídica</t>
  </si>
  <si>
    <t>Renovación Convenio con Contraloría y Modelo de Madurez de Integridad</t>
  </si>
  <si>
    <t>Evaluar renovación del Convenio CGR (Cláusula Sexta permite nuevos convenios) y adoptar modelo de madurez del sistema de integridad propuesto por la Contraloría.</t>
  </si>
  <si>
    <t>El Análisis Normativo evidencia que el Convenio CMR suscrito junio 2022 fue ejecutado en sus etapas principales pero no consta acta de cierre (Cláusula 3d). No se identifican instrumentos de seguimiento posterior al Taller ÁGIL. Solo 15% de municipios tiene monitoreo formal de integridad. Solo 25% implementa gestión de riesgos. La Contraloría propone un modelo de madurez del sistema de integridad que Tengo podría adoptar. El art. 21A de Ley 10.336 permite nuevos convenios.</t>
  </si>
  <si>
    <t>Convenio renovado o cerrado; nivel en modelo madurez CGR; reportes semestrales CSI</t>
  </si>
  <si>
    <t>Convenio sin cierre formal; sin monitoreo post-Taller ÁGIL</t>
  </si>
  <si>
    <t>Cierre formal + evaluación renovación + 2 reportes CSI</t>
  </si>
  <si>
    <t>Nivel 3 modelo madurez + convenio vigente + auditorias integridad</t>
  </si>
  <si>
    <t>Contraloría Interna + Oficial de Integridad</t>
  </si>
  <si>
    <t>Municipal + CGR</t>
  </si>
  <si>
    <t>Sistema de Monitoreo y Evaluación Institucional Integrado</t>
  </si>
  <si>
    <t>Establecer un tablero de indicadores institucionales con metas anuales que articule PLADECO, Plan de Salud, PADEM, Plan de Seguridad y demás instrumentos de gestión bajo mecanismos comunes de seguimiento, alimentando la rendición de cuentas pública y el IIGAM con datos verificables de las 13 unidades municipales.</t>
  </si>
  <si>
    <t>El Diagnóstico Institucional revela que 50% de las 16 dimensiones evaluadas están en Nivel 2 (Formalizado sin implementación verificable) y 37,5% en Nivel 1 (Ausente). NINGUNA dimensión alcanza Nivel 4 (Optimizado). No existen indicadores transversales, tableros de control ni mecanismos de evaluación de ningun instrumento. La brecha formalización-implementación es el hallazgo central: 9 de 12 instrumentos (75%) están aprobados por decreto pero carecen de evidencia de ejecución.</t>
  </si>
  <si>
    <t>N instrumentos en Nivel 3+ de madurez; reportes trimestrales publicados</t>
  </si>
  <si>
    <t>1 de 16 dimensiones en Nivel 3 (6%)</t>
  </si>
  <si>
    <t>6 de 16 en Nivel 3 (37%)</t>
  </si>
  <si>
    <t>12 de 16 en Nivel 3 (75%)</t>
  </si>
  <si>
    <t>SECPLAN + Innovacion y Gestion</t>
  </si>
  <si>
    <t>Actualización Plan de Compras Públicas Institucionales: Más Eficiencia, Menos Discrecionalidad</t>
  </si>
  <si>
    <t>Elaborar un Plan Anual de Compras Públicas estructurado por los 6 Ejes Estratégicos y 32 Objetivos Específicos del PLADECO Rengo 2025-2035, vinculando cada licitación y adquisición directamente a las iniciativas del plan comunal. El instrumento incorpora criterios de eficiencia, trazabilidad y reducción de discrecionalidad en el gasto, alineando el ciclo presupuestario con la planificación estratégica municipal para revertir la caída de la ejecución de inversiones desde el 76% al 32,2% y superar el cumplimiento del 40% registrado en el PLADECO anterior.</t>
  </si>
  <si>
    <t>El Diagnóstico Institucional PLADECO 2025 revela que el Plan de Compras 2026 fue aprobado por decreto (folio 891) sin articulación explícita con los ejes estratégicos del PLADECO (Análisis Normativo-Institucional, 2026). El PLADECO anterior alcanzó solo el 40% de cumplimiento y la ejecución de inversiones cayó de 76% a 32,2%, evidenciando que la desarticulación entre compras y planificación estratégica es una causa estructural. La Ley 19.886 permite estructurar el plan de compras por objetivos estratégicos. Alinear las licitaciones con los ejes del PLADECO reduce la discrecionalidad y mejora la trazabilidad del gasto público municipal.</t>
  </si>
  <si>
    <t>Plan de Compras estructurado por ejes PLADECO (S/N); % licitaciones vinculadas a iniciativas PLADECO; N° compras trazables a OE específico; Ejecución de inversión (%)</t>
  </si>
  <si>
    <t>Plan de Compras aprobado sin articulación con ejes PLADECO; ejecución de inversión 32,2%</t>
  </si>
  <si>
    <t>Plan de Compras estructurado 100% por ejes PLADECO; ejecución inversión &gt;= 55%; trazabilidad formal</t>
  </si>
  <si>
    <t>Sistema de compras integrado al ERP municipal; ejecución inversión &gt;= 70%; trazabilidad PLADECO-gasto 100%</t>
  </si>
  <si>
    <t>SECPLAN + DAF + Alcaldía</t>
  </si>
  <si>
    <t>Innovación Sistema de Entrega de Certificados de Disponibilidad Presupuestaria:</t>
  </si>
  <si>
    <t>Promover la entrega de Certificados de Disponibilidad Presupuestaria en base a los Ejes del Pladeco - Objetivo Estratégico - Áreas Programas para un correcto seguimiento - ejecución del PLADECO</t>
  </si>
  <si>
    <t>Según Diagnóstico PLADECO 2025, el PLADECO anterior alcanzó sólo 40% de cumplimiento, gasto en personal absorbe 74,0% del presupuesto, ejecución de inversiones apenas 32,2%, IIGAM 57%, se registran 170+ sumarios DAEM, 43% desconoce Ley Karin, y profesionalización alcanza solo 34,5%. La modernización es urgente para los 65.786 habitantes. La ejecución de inversiones es de solo 32,2%, lo que requiere mejorar la gestión de disponibilidad presupuestaria.</t>
  </si>
  <si>
    <t>Sistema digital implementado; Certificados emitidos digitalmente (%); Tiempo emisión reducido</t>
  </si>
  <si>
    <t>"Instituciones Capaces y Fuertes"</t>
  </si>
  <si>
    <t>Fortalecer la capacidad operativa de las unidades municipales y servicios públicos dependientes mediante la adquisición planificada de insumos, equipamiento técnico y materiales de trabajo. La iniciativa responde al diagnóstico que identifica carencias materiales críticas reportadas por funcionarios (n=116) y el hecho de que el 75% de los instrumentos municipales se encuentra en Nivel 2 de madurez (formalizados sin implementación efectiva). Municipios con recursos materiales adecuados elevan su desempeño en el IIGAM y el ranking SUBDERE, revirtiendp la caída de 80% a 58,4%.</t>
  </si>
  <si>
    <t>El Diagnóstico Institucional PLADECO 2025 identifica que el 75% de los instrumentos municipales están en Nivel 2 de madurez (formalizados sin implementación efectiva) y ninguna dimensión alcanza el Nivel 4 (Optimizado). La etnografía con funcionarios (n=116) revela carencias críticas de equipamiento: no se cuenta con equipamiento para actividades con público. La ejecución del PLADECO anterior fue solo 40%, atribuible en parte a la falta de insumos técnicos. La Ley 18.695 establece que el municipio debe contar con los medios materiales para el cumplimiento de sus funciones, lo que incluye los servicios públicos dependientes y la atención a la comunidad.</t>
  </si>
  <si>
    <t>N° unidades municipales con equipamiento mínimo adecuado; % satisfacción funcionarios con recursos materiales; Presupuesto ejecutado en insumos técnicos/año</t>
  </si>
  <si>
    <t>Sin diagnóstico formal de necesidades de insumos técnicos por unidad; carencias materiales reportadas por funcionarios</t>
  </si>
  <si>
    <t>13 unidades municipales con equipamiento mínimo adecuado; mejora 30% satisfacción en recursos</t>
  </si>
  <si>
    <t>100% unidades con equipamiento estandarizado; sistema de gestión de activos activo; renovación planificada</t>
  </si>
  <si>
    <t>DAF + Alcaldía + Administración Municipal</t>
  </si>
  <si>
    <t>Tabla N 9: Ejes Estratégicos del PLADECO 2025-2035 - Comuna de Rengo</t>
  </si>
  <si>
    <t>Eje Estratégico PLADECO</t>
  </si>
  <si>
    <t>Objetivos Estratégicos (OE)</t>
  </si>
  <si>
    <t>Objetivos Especificos Clave</t>
  </si>
  <si>
    <t>N Acciones</t>
  </si>
  <si>
    <t>% Total</t>
  </si>
  <si>
    <t>OE 1.1 Desarrollar Plan de Turismo Rural, Patrimonial y Turístico
  OE 1.2 Inventario y Protección Patrimonial
  OE 1.3 Ampliar Infraestructura Deportiva
  OE 1.4 Fortalecer Inclusión Social (AM, PcD, Migrantes)
  OE 1.5 Reducir Consumo Alcohol y Drogas</t>
  </si>
  <si>
    <t>Fortalecer infraestructura cultural; posicionar a Rengo como destino turístico; ampliar acceso deportivo y recreativo; fortalecer protección social y bienestar comunitario; reducir factores de riesgo en salud pública</t>
  </si>
  <si>
    <t>OE 2.1 Elevar Depto. Desarrollo Económico a Direccion
  OE 2.2 Fortalecer OMIL con Reconversión Laboral
  OE 2.3 Polos de Emprendimiento e Innovación
  OE 2.4 Turismo Rural y Enológico
  OE 2.5 Transición Agricultura Sustentable</t>
  </si>
  <si>
    <t>Fortalecer emprendimiento y PYMES; diversificar base productiva agrícola; promover desarrollo comercial; mejorar empleabilidad; impulsar turismo como sector económico</t>
  </si>
  <si>
    <t>OE 3.1 Universalizar Preescolar 70%
  OE 3.2 Reducir Deserción &lt;6%
  OE 3.3 Aumentar Educacion Superior 50%
  OE 3.4 Alcanzar 12,1 anos escolaridad
  OE 3.5 Ampliar Oferta SENCE/OTEC</t>
  </si>
  <si>
    <t>Mejorar calidad educativa; fortalecer educación técnico-profesional; modernizar infraestructura educativa; ampliar capacitación adultos; reducir brechas de escolaridad</t>
  </si>
  <si>
    <t>OE 4.1 Nuevo PRC
  OE 4.2 Regeneración 5 Barrios Vulnerables
  OE 4.3 Red Ciclovías 15 km
  OE 4.4 Alcantarillado 90%
  OE 4.5 Plan Riesgo Hídrico Rio Claro
  OE 4.6 Gestión Ambiental Integral</t>
  </si>
  <si>
    <t>Reducir déficit habitacional; mejorar conectividad vial; aumentar areas verdes; gestion ambiental sostenible; planificación territorial; gestión del riesgo hidrico</t>
  </si>
  <si>
    <t>OE 5.1 NNA Inseguros &lt;25%
  OE 5.2 VIF Mujer &lt;200 casos
  OE 5.3 Robos Violentos &lt;80
  OE 5.4 Convivencia Escolar 100%
  OE 5.5 Plan Gestion Riesgo Desastres</t>
  </si>
  <si>
    <t>Fortalecer prevencion del delito; recuperar espacios públicos seguros; proteger NNA y mujeres de violencia; fortalecer gestión de riesgos y emergencias</t>
  </si>
  <si>
    <t>Eje 6: Innovación, Modernizacion y Optimizacion de la Gestion Municipal</t>
  </si>
  <si>
    <t>OE 6.1 Unidad M&amp;E PLADECO
  OE 6.2 Actualizar Política RRHH
  OE 6.3 Sistema ERP Municipal
  OE 6.4 Crear Unidad Medio Ambiente
  OE 6.5 Direccion Desarrollo Economico
  OE 6.6 Rendicion Cuentas Semestral</t>
  </si>
  <si>
    <t>Digitalizar servicios municipales; fortalecer transparencia y participación; mejorar capacidades del personal; gestión basada en evidencia; modernizar estructura orgánica</t>
  </si>
  <si>
    <t>TOTAL PLADECO 2025-2035</t>
  </si>
  <si>
    <t>32 Objetivos Estratégicos</t>
  </si>
  <si>
    <t>6 Ejes x 32 OE x 214 Acciones PLADECO articuladas con Programa de Gobierno</t>
  </si>
  <si>
    <t>Desarrollo Comunitario: Organizaciones Funcionales y Territoriales - PLADECO Rengo 2025-2035</t>
  </si>
  <si>
    <t>A. Caracterización del Tejido Organizacional Comunal</t>
  </si>
  <si>
    <t>Tipo de Organización</t>
  </si>
  <si>
    <t>Cantidad</t>
  </si>
  <si>
    <t>Distribución Territorial</t>
  </si>
  <si>
    <t>Rol en el PLADECO</t>
  </si>
  <si>
    <t>Estado Actual</t>
  </si>
  <si>
    <t>Accion Estrategica</t>
  </si>
  <si>
    <t>Comités de Vivienda</t>
  </si>
  <si>
    <t>33,0%</t>
  </si>
  <si>
    <t>65% urbano (Las Torres, Villa San Francisco, El Naranjal) / 35% rural</t>
  </si>
  <si>
    <t>Validar diagnóstico habitacional; priorizar proyectos MINVU-SERVIU; articular demanda deficit 28,8% cualitativo</t>
  </si>
  <si>
    <t>Activos pero con demanda insatisfecha histórica; 14+ años de espera en algunos comités</t>
  </si>
  <si>
    <t>Programa vivienda transparente; articular con MINVU-SERVIU para reducir déficit; registrar y priorizar comites</t>
  </si>
  <si>
    <t>Juntas de Vecinos y Comités de Adelanto</t>
  </si>
  <si>
    <t>27,9%</t>
  </si>
  <si>
    <t>49 urbanas entrevistadas + rurales en 21 localidades. 60% urbano / 40% rural</t>
  </si>
  <si>
    <t>Instancia base de participación territorial; evaluación diagnóstico PLADECO; canalización de demandas; co-gestion espacios publicos</t>
  </si>
  <si>
    <t>Relación con Municipalidad calificada como deficiente; requerimientos sin respuesta; percepcion de concentración en centro urbano</t>
  </si>
  <si>
    <t>Actualizar Ordenanza Participación (14+ anos); crear plataforma digital "Rengo Participa"; fortalecer COSOC; mesas barriales</t>
  </si>
  <si>
    <t>Agrupaciones Socioculturales</t>
  </si>
  <si>
    <t>18,2%</t>
  </si>
  <si>
    <t>Concentradas en Rengo centro y Rosario; incluye grupos de teatro, danza, música, artesanía</t>
  </si>
  <si>
    <t>Rescate identidad cultural; Festival Saberes Rio Claro; programas patrimonio; actividades Centro Cultural</t>
  </si>
  <si>
    <t>Sin Plan Cultural Municipal vigente; presupuesto cultura apenas 0,52% del gasto total; 66% ciudadanía percibe identidad debil</t>
  </si>
  <si>
    <t>Crear Plan Cultural Municipal; construir Centro Cultural Av. El Rodeo; marca "Rengo Origen"; festival tradiciones</t>
  </si>
  <si>
    <t>Clubes Deportivos</t>
  </si>
  <si>
    <t>16,4%</t>
  </si>
  <si>
    <t>~300 socios y ~500 jugadores por club principal. Distribucion urbana y rural, con déficit en Rosario</t>
  </si>
  <si>
    <t>Articular con Escuelas Deportivas Municipales; campeonatos escolares; promover actividad física inclusiva; Eje 1 OE 1.3</t>
  </si>
  <si>
    <t>Sin lugar de reunión propio; sin piscina temperada; falta iluminación recintos; areas verdes 1,96 m2/hab</t>
  </si>
  <si>
    <t>Complejo Deportivo "El Guerrero"; Polideportivo Rosario; Escuelas Deportivas verano/invierno; FONDEPORTE becas</t>
  </si>
  <si>
    <t>Clubes de Adulto Mayor</t>
  </si>
  <si>
    <t>2,4%</t>
  </si>
  <si>
    <t>Distribuidos en Rengo urbano y Rosario; vinculados a ELEAM y programas SENAMA</t>
  </si>
  <si>
    <t>Programas envejecimiento activo; prevencion deterioro funcional; articulación con red APS; Eje 1 OE 1.4</t>
  </si>
  <si>
    <t>8.796 AM (IE=72,1); ELEAM operativo (2022) pero cobertura insuficiente; 10.528 pacientes crónicos PSCV</t>
  </si>
  <si>
    <t>Red de Cuidados "Rengo Cuida"; Centros de Dia "Rengo Acompana"; programa nutrición; salud mental AM</t>
  </si>
  <si>
    <t>Comités de Agua Potable Rural (APR)</t>
  </si>
  <si>
    <t>2,1%</t>
  </si>
  <si>
    <t>Localidades rurales: Lo Cartagena, Popeta, El Retiro, Chanqueahue y otros</t>
  </si>
  <si>
    <t>Gestion recursos hidricos comunitarios; articulación con DGA y DOH; plan de modernización APR; Eje 4 OE 4.5</t>
  </si>
  <si>
    <t>93,1% cobertura agua potable (6,9% sin acceso ~4.500 personas); crisis hídrica -30-35% precipitaciones; demanda 220,8 hm3/año</t>
  </si>
  <si>
    <t>Modernizar 12 APR; Plan Gestion Riesgo Hídrico Rio Claro; alerta temprana crecidas; proteccion acuíferos</t>
  </si>
  <si>
    <t>Organizaciones Ambientales (Ecoconciencia y otros)</t>
  </si>
  <si>
    <t>0,9%</t>
  </si>
  <si>
    <t>Ecoconciencia (2022) y Comite Ambiental Comunal; presencia urbana con proyección rural</t>
  </si>
  <si>
    <t>Educacion ambiental; fiscalización residuos; proteccion Rio Claro; Eje 4 OE 4.6 y Eje 6 OE 6.4</t>
  </si>
  <si>
    <t>Sin Unidad de Medio Ambiente municipal; centros reciclaje convertidos en microbasurales; 80% especies exóticas</t>
  </si>
  <si>
    <t>Crear Unidad Medio Ambiente (OE 6.4); Plan Acción Climatica; programa reforestación; corredores verdes</t>
  </si>
  <si>
    <t>COSOC (Consejo Sociedad Civil)</t>
  </si>
  <si>
    <t>0,3%</t>
  </si>
  <si>
    <t>Instancia comunal unica; representacion urbano-rural</t>
  </si>
  <si>
    <t>Organo consultivo obligatorio (Ley 20.500); validacion PLADECO; fiscalización ciudadana; rendicion cuentas</t>
  </si>
  <si>
    <t>Activo pero Ordenanza 14+ años sin modificar; sin mecanismos digitales; sin integración paritaria; sin cupos NNA</t>
  </si>
  <si>
    <t>Actualizar Ordenanza; integración paritaria (Instructivo 007/2022); cuentas públicas participativas semestrales (OE 6.6)</t>
  </si>
  <si>
    <t>Junta de Vigilancia Río Claro</t>
  </si>
  <si>
    <t>1.200 regantes; 74 anos funcionamiento; 7 directores; cuenca 921 km2</t>
  </si>
  <si>
    <t>Gestion recurso hidrico estrategico; articulacion con DGA; producción agrícola; embalse 10 mill. m3 / 8.000 ha riego</t>
  </si>
  <si>
    <t>20 anos sequía declarada; 30% reduccion produccion agricola; perdida 3.950 ha (-26%); 110 incendios 2010-2018</t>
  </si>
  <si>
    <t>Plan Gestion Riesgo Hídrico; Embalse El Bollenar; transicion agricultura sustentable (OE 2.5); alerta temprana</t>
  </si>
  <si>
    <t>Organizaciones de Transporte (Buses + Colectivos)</t>
  </si>
  <si>
    <t>GALVUS, SERVIBUS + 6 lineas colectivos (Letrero Blanco, Rurales Popeta, Villa Primavera, Línea Azul, Amarilla)</t>
  </si>
  <si>
    <t>Conectividad territorial; reduccion brecha urbano-rural; articulación con Metrotren (2021); accesibilidad servicios</t>
  </si>
  <si>
    <t>Deficit frecuencia zonas rurales; localidades más alejadas son las más aisladas en transporte; sin paraderos inteligentes</t>
  </si>
  <si>
    <t>Paraderos inteligentes; De Transporte Público; articular Metrotren como activo económico (OE 2.5); ciclovias 15 km</t>
  </si>
  <si>
    <t>TOTAL ORGANIZACIONES</t>
  </si>
  <si>
    <t>B. Brechas de la Ordenanza de Participación Ciudadana (Decreto Alcaldicio N 1100/2011)</t>
  </si>
  <si>
    <t>Dimensión</t>
  </si>
  <si>
    <t>Ordenanza Rengo (2011)</t>
  </si>
  <si>
    <t>Estándar Actual (SUBDERE 2023)</t>
  </si>
  <si>
    <t>Brecha</t>
  </si>
  <si>
    <t>Gravedad</t>
  </si>
  <si>
    <t>Acción PLADECO</t>
  </si>
  <si>
    <t>Principios rectores</t>
  </si>
  <si>
    <t>No define principios explícitos</t>
  </si>
  <si>
    <t>Democracia, equidad, inclusión, no discriminacion, oportunidad, incidencia</t>
  </si>
  <si>
    <t>Ausencia total de principios orientadores</t>
  </si>
  <si>
    <t>Alta</t>
  </si>
  <si>
    <t>Actualizar Ordenanza con principios Ley 20.500 e Instructivo 007/2022</t>
  </si>
  <si>
    <t>Sujetos de derecho</t>
  </si>
  <si>
    <t>Solo vecinos residentes</t>
  </si>
  <si>
    <t>Incluir trabajadores, estudiantes y personas con vínculos permanentes</t>
  </si>
  <si>
    <t>Excluye 3.217 migrantes (5,06%) y población flotante</t>
  </si>
  <si>
    <t>Ampliar sujetos de derecho conforme a modelo Providencia</t>
  </si>
  <si>
    <t>Composición COSOC</t>
  </si>
  <si>
    <t>Delegado a reglamento separado</t>
  </si>
  <si>
    <t>Integración paritaria, cupos indigenas, representacion territorial</t>
  </si>
  <si>
    <t>Sin paridad género; sin cupos indigenas (3.813 personas, 5,99%); sin equilibrio urbano-rural</t>
  </si>
  <si>
    <t>Reglamento COSOC con paridad + cupos + representación territorial</t>
  </si>
  <si>
    <t>Participación digital</t>
  </si>
  <si>
    <t>Mención genérica a pagina web</t>
  </si>
  <si>
    <t>Plataformas digitales participativas, mecanismos remotos, votación electrónica</t>
  </si>
  <si>
    <t>Sin plataforma digital; solo 11% usa tramites online; 6% conoce Plan Emergencias</t>
  </si>
  <si>
    <t>Plataforma "Rengo Participa" tipo Panguipulli; app móvil ciudadana (OE 6.6)</t>
  </si>
  <si>
    <t>Presupuesto participativo</t>
  </si>
  <si>
    <t>Enunciado sin desarrollo (art. 64)</t>
  </si>
  <si>
    <t>Porcentaje definido, metodologia, ciclo anual, priorización territorial</t>
  </si>
  <si>
    <t>Artículo declarativo sin operacionalizacion; sin porcentaje ni metodologia</t>
  </si>
  <si>
    <t>Institucionalizar con 2-3% presupuesto inversion; ciclo anual; priorización territorial</t>
  </si>
  <si>
    <t>Participación NNA</t>
  </si>
  <si>
    <t>No contemplada</t>
  </si>
  <si>
    <t>Mecanismos específicos para niños, niñas y adolescentes (Ley 21.430)</t>
  </si>
  <si>
    <t>Exclusión total de NNA pese a que 54,41% se sienten inseguros y 0% evalúa positivamente la comuna</t>
  </si>
  <si>
    <t>Crítica</t>
  </si>
  <si>
    <t>Consejo Infantil Comunal; presupuesto participativo juvenil; consulta NNA en diseño espacios</t>
  </si>
  <si>
    <t>Mecanismos adicionales</t>
  </si>
  <si>
    <t>No contempla</t>
  </si>
  <si>
    <t>Cabildos ciudadanos, mesas barriales, defensoría comunal</t>
  </si>
  <si>
    <t>Sin cabildos, sin mesas barriales, sin defensoría; solo 49% dispuesto a participar</t>
  </si>
  <si>
    <t>Media</t>
  </si>
  <si>
    <t>Crear mesas barriales por zona; cabildos anuales temáticos; defensoría vecinal</t>
  </si>
  <si>
    <t>Evaluación y vigencia</t>
  </si>
  <si>
    <t>Sin mecanismo de revisión</t>
  </si>
  <si>
    <t>Evaluación periódica participativa, vigencia temporal definida</t>
  </si>
  <si>
    <t>14+ anos sin evaluación ni modificación sustantiva</t>
  </si>
  <si>
    <t>Clausula de revision cada 4 anos; evaluación participativa bienal; informe COSOC</t>
  </si>
  <si>
    <t>C. Experiencias de Referencia para Rengo (SUBDERE, 2024)</t>
  </si>
  <si>
    <t>Experiencia</t>
  </si>
  <si>
    <t>Comuna / Región</t>
  </si>
  <si>
    <t>Aprendizaje para Rengo</t>
  </si>
  <si>
    <t>Panguipulli Participa</t>
  </si>
  <si>
    <t>Los Ríos</t>
  </si>
  <si>
    <t>Plataforma web que permite a la ciudadanía participar en proyectos y decisiones municipales, facilitando expresión de opiniones y toma de decisiones sobre iniciativas comunales.</t>
  </si>
  <si>
    <t>Modelo para plataforma digital "Rengo Participa" que resuelva barrera de distancia en sectores rurales (40% organizaciones) y supere el 11% de uso de trámites online.</t>
  </si>
  <si>
    <t>Valdivia Elige</t>
  </si>
  <si>
    <t>Programa de presupuestos participativos con 3 versiones consecutivas. Pagina web con alternativas de inversión y votacion popular. Ha institucionalizado la participación ciudadana en decisiones de inversion.</t>
  </si>
  <si>
    <t>Referencia para operacionalizar art. 64 de la Ordenanza con porcentaje definido (2-3% presupuesto inversion), ciclo anual y priorización territorial.</t>
  </si>
  <si>
    <t>Banco Proyectos Comunitarios Huasco</t>
  </si>
  <si>
    <t>Atacama</t>
  </si>
  <si>
    <t>Mecanismo directo y vinculante para proposicion, formulacion, evaluacion y priorización de proyectos comunitarios. Vincula proyectos a fondos internos y externos.</t>
  </si>
  <si>
    <t>Modelo para articular las 330 organizaciones con la cartera BIP (1.182 registros, materialización cayó a 30,7%). Las organizaciones pueden formular proyectos.</t>
  </si>
  <si>
    <t>Ordenanza Providencia</t>
  </si>
  <si>
    <t>Metropolitana</t>
  </si>
  <si>
    <t>Definición amplia de sujetos de derecho: no solo vecinos residentes sino trabajadores, estudiantes y personas con vínculos permanentes. Criterios diferenciados de involucramiento.</t>
  </si>
  <si>
    <t>Referencia para incluir 3.217 migrantes (5,06%) y población flotante (trabajadores, estudiantes UOH) en los mecanismos de participación comunal.</t>
  </si>
  <si>
    <t>D. Datos Clave del Diagnóstico Participativo</t>
  </si>
  <si>
    <t>Indicador</t>
  </si>
  <si>
    <t>Detalle</t>
  </si>
  <si>
    <t>330 organizaciones comunitarias vigentes</t>
  </si>
  <si>
    <t>10 tipos: Comités Vivienda (109), JJVV (92), Socioculturales (60), Deportivos (54), AM (8), APR (7), Ambientes (3), COSOC (1), Junta Vigilancia (1), Transporte (8)</t>
  </si>
  <si>
    <t>49 JJVV urbanas entrevistadas</t>
  </si>
  <si>
    <t>Cobertura total del área urbana: Libertad, Gregorio Araya, Las Torres, Abedules, Santa Laura, Europa, Los Maitenes y 42 más</t>
  </si>
  <si>
    <t>21 localidades rurales levantadas</t>
  </si>
  <si>
    <t>Lo Cartagena, Rosario, Apalta, Popeta, Lo de Lobo, El Retiro, Esmeralda, Chanqueahue y 13 más</t>
  </si>
  <si>
    <t>Encuesta ciudadana (n=119)</t>
  </si>
  <si>
    <t>70% inseguridad; 41% contaminacion; 29% perdida identidad; 27% desempleo; 24% falta espacios públicos; servicios 2,82-3,35/5</t>
  </si>
  <si>
    <t>Encuesta funcionarios (n=116)</t>
  </si>
  <si>
    <t>48% relevancia laboral; 52% desconoce flujogramas; 22% disputas; 43% desconoce Ley Karin; 82% reconoce brecha territorial</t>
  </si>
  <si>
    <t>Encuesta NNA (n=21)</t>
  </si>
  <si>
    <t>0% evaluación positiva de Rengo; 24% violencia escolar recurrente; 38% consumo sustancias; 100% dispuesto a participar</t>
  </si>
  <si>
    <t>Ordenanza Participación</t>
  </si>
  <si>
    <t>14+ años sin modificar (Decreto 1100/2011); sin mecanismos digitales; sin NNA; sin integración paritaria COSOC</t>
  </si>
  <si>
    <t>Participación condicionada</t>
  </si>
  <si>
    <t>Solo 49% ciudadanía dispuesta a participar sin condiciones; 67% NNA se siente escuchado "a veces"; gradiente: NNA 100% &gt; Funcionarios 78% &gt; Ciudadanía 49%</t>
  </si>
  <si>
    <t>Fuente: Elaboración Propia a partir de registros municipales 2026, Etnografía Social Tripartita, Encuestas (n=119, n=116, n=21) y análisis normativo - PLADECO Rengo 2025-2035</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</si>
</sst>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scheme val="minor"/>
    </font>
    <font>
      <b/>
      <sz val="10.0"/>
      <color rgb="FFFFFFFF"/>
      <name val="Times New Roman"/>
    </font>
    <font>
      <b/>
      <sz val="10.0"/>
      <color rgb="FF1A1A2E"/>
      <name val="Times New Roman"/>
    </font>
    <font>
      <b/>
      <sz val="10.0"/>
      <color rgb="FF1C3557"/>
      <name val="Times New Roman"/>
    </font>
    <font>
      <sz val="10.0"/>
      <color rgb="FF1A1A2E"/>
      <name val="Times New Roman"/>
    </font>
    <font>
      <i/>
      <sz val="10.0"/>
      <color rgb="FF065A82"/>
      <name val="Times New Roman"/>
    </font>
    <font>
      <b/>
      <sz val="10.0"/>
      <color rgb="FFB8860B"/>
      <name val="Times New Roman"/>
    </font>
    <font>
      <b/>
      <sz val="10.0"/>
      <color rgb="FF0D9488"/>
      <name val="Times New Roman"/>
    </font>
    <font/>
    <font>
      <b/>
      <sz val="10.0"/>
      <color rgb="FF006400"/>
      <name val="Times New Roman"/>
    </font>
    <font>
      <b/>
      <sz val="10.0"/>
      <color rgb="FF8B0000"/>
      <name val="Times New Roman"/>
    </font>
    <font>
      <sz val="10.0"/>
      <color rgb="FF000000"/>
      <name val="Times New Roman"/>
    </font>
    <font>
      <b/>
      <sz val="14.0"/>
      <color rgb="FF1C3557"/>
      <name val="Arial"/>
    </font>
    <font>
      <b/>
      <sz val="11.0"/>
      <color rgb="FFFFFFFF"/>
      <name val="Arial"/>
    </font>
    <font>
      <b/>
      <sz val="11.0"/>
      <color rgb="FF6D2E46"/>
      <name val="Arial"/>
    </font>
    <font>
      <sz val="11.0"/>
      <color rgb="FF1A1A2E"/>
      <name val="Arial"/>
    </font>
    <font>
      <b/>
      <sz val="11.0"/>
      <color rgb="FF1A1A2E"/>
      <name val="Arial"/>
    </font>
    <font>
      <b/>
      <sz val="11.0"/>
      <color rgb="FF1E7E45"/>
      <name val="Arial"/>
    </font>
    <font>
      <b/>
      <sz val="11.0"/>
      <color rgb="FFE0A020"/>
      <name val="Arial"/>
    </font>
    <font>
      <b/>
      <sz val="11.0"/>
      <color rgb="FFB85042"/>
      <name val="Arial"/>
    </font>
    <font>
      <b/>
      <sz val="11.0"/>
      <color rgb="FFC0392B"/>
      <name val="Arial"/>
    </font>
    <font>
      <b/>
      <sz val="11.0"/>
      <color rgb="FF0D9488"/>
      <name val="Arial"/>
    </font>
    <font>
      <b/>
      <sz val="11.0"/>
      <color rgb="FF1C3557"/>
      <name val="Arial"/>
    </font>
    <font>
      <b/>
      <sz val="11.0"/>
      <color rgb="FF065A82"/>
      <name val="Arial"/>
    </font>
    <font>
      <color rgb="FF000000"/>
      <name val="Arial"/>
    </font>
    <font>
      <b/>
      <sz val="12.0"/>
      <color rgb="FF065A82"/>
      <name val="Arial"/>
    </font>
    <font>
      <b/>
      <color rgb="FFFFFFFF"/>
      <name val="Arial"/>
    </font>
    <font>
      <b/>
      <sz val="9.0"/>
      <color rgb="FF1A1A2E"/>
      <name val="Arial"/>
    </font>
    <font>
      <b/>
      <color rgb="FF6D2E46"/>
      <name val="Arial"/>
    </font>
    <font>
      <b/>
      <sz val="12.0"/>
      <color rgb="FF1C3557"/>
      <name val="Arial"/>
    </font>
    <font>
      <sz val="9.0"/>
      <color rgb="FF1A1A2E"/>
      <name val="Arial"/>
    </font>
    <font>
      <i/>
      <sz val="9.0"/>
      <color rgb="FFC0392B"/>
      <name val="Arial"/>
    </font>
    <font>
      <b/>
      <sz val="9.0"/>
      <color rgb="FF1E7E45"/>
      <name val="Arial"/>
    </font>
    <font>
      <sz val="11.0"/>
      <color rgb="FF000000"/>
      <name val="Calibri"/>
    </font>
    <font>
      <b/>
      <color rgb="FF1A1A2E"/>
      <name val="Arial"/>
    </font>
    <font>
      <b/>
      <sz val="9.0"/>
      <color rgb="FFC0392B"/>
      <name val="Arial"/>
    </font>
    <font>
      <b/>
      <sz val="9.0"/>
      <color rgb="FFE0A020"/>
      <name val="Arial"/>
    </font>
    <font>
      <b/>
      <color rgb="FF0D9488"/>
      <name val="Arial"/>
    </font>
    <font>
      <i/>
      <sz val="9.0"/>
      <color rgb="FF065A82"/>
      <name val="Arial"/>
    </font>
    <font>
      <b/>
      <color rgb="FF1C3557"/>
      <name val="Arial"/>
    </font>
    <font>
      <i/>
      <sz val="9.0"/>
      <color rgb="FF8899AA"/>
      <name val="Arial"/>
    </font>
  </fonts>
  <fills count="12">
    <fill>
      <patternFill patternType="none"/>
    </fill>
    <fill>
      <patternFill patternType="lightGray"/>
    </fill>
    <fill>
      <patternFill patternType="solid">
        <fgColor rgb="FF1C3557"/>
        <bgColor rgb="FF1C3557"/>
      </patternFill>
    </fill>
    <fill>
      <patternFill patternType="solid">
        <fgColor rgb="FFF2F4F7"/>
        <bgColor rgb="FFF2F4F7"/>
      </patternFill>
    </fill>
    <fill>
      <patternFill patternType="solid">
        <fgColor rgb="FF6D2E46"/>
        <bgColor rgb="FF6D2E46"/>
      </patternFill>
    </fill>
    <fill>
      <patternFill patternType="solid">
        <fgColor rgb="FFFFFFFF"/>
        <bgColor rgb="FFFFFFFF"/>
      </patternFill>
    </fill>
    <fill>
      <patternFill patternType="solid">
        <fgColor rgb="FF1E7E45"/>
        <bgColor rgb="FF1E7E45"/>
      </patternFill>
    </fill>
    <fill>
      <patternFill patternType="solid">
        <fgColor rgb="FFE0A020"/>
        <bgColor rgb="FFE0A020"/>
      </patternFill>
    </fill>
    <fill>
      <patternFill patternType="solid">
        <fgColor rgb="FFB85042"/>
        <bgColor rgb="FFB85042"/>
      </patternFill>
    </fill>
    <fill>
      <patternFill patternType="solid">
        <fgColor rgb="FFC0392B"/>
        <bgColor rgb="FFC0392B"/>
      </patternFill>
    </fill>
    <fill>
      <patternFill patternType="solid">
        <fgColor rgb="FF0D9488"/>
        <bgColor rgb="FF0D9488"/>
      </patternFill>
    </fill>
    <fill>
      <patternFill patternType="solid">
        <fgColor rgb="FFD6E4F0"/>
        <bgColor rgb="FFD6E4F0"/>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1C3557"/>
      </left>
      <right style="thin">
        <color rgb="FF1C3557"/>
      </right>
      <top style="thin">
        <color rgb="FF1C3557"/>
      </top>
    </border>
    <border>
      <top style="thin">
        <color rgb="FF1C3557"/>
      </top>
    </border>
    <border>
      <right style="thin">
        <color rgb="FF1C3557"/>
      </right>
      <top style="thin">
        <color rgb="FF1C3557"/>
      </top>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1" numFmtId="0" xfId="0" applyAlignment="1" applyBorder="1" applyFont="1">
      <alignment horizontal="center" readingOrder="0" shrinkToFit="0" vertical="center" wrapText="1"/>
    </xf>
    <xf borderId="1" fillId="3" fontId="2" numFmtId="0" xfId="0" applyAlignment="1" applyBorder="1" applyFill="1" applyFont="1">
      <alignment horizontal="center" readingOrder="0" shrinkToFit="0" vertical="center" wrapText="0"/>
    </xf>
    <xf borderId="2" fillId="4" fontId="1" numFmtId="0" xfId="0" applyAlignment="1" applyBorder="1" applyFill="1" applyFont="1">
      <alignment horizontal="center" readingOrder="0" shrinkToFit="0" vertical="center" wrapText="1"/>
    </xf>
    <xf borderId="2" fillId="3" fontId="3"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6" numFmtId="0" xfId="0" applyAlignment="1" applyBorder="1" applyFont="1">
      <alignment horizontal="center" readingOrder="0" shrinkToFit="0" vertical="center" wrapText="1"/>
    </xf>
    <xf borderId="1" fillId="0" fontId="7" numFmtId="0" xfId="0" applyAlignment="1" applyBorder="1" applyFont="1">
      <alignment horizontal="left" readingOrder="0" shrinkToFit="0" vertical="center" wrapText="1"/>
    </xf>
    <xf borderId="1" fillId="5" fontId="2" numFmtId="0" xfId="0" applyAlignment="1" applyBorder="1" applyFill="1" applyFont="1">
      <alignment horizontal="center" readingOrder="0" shrinkToFit="0" vertical="center" wrapText="0"/>
    </xf>
    <xf borderId="3" fillId="0" fontId="8" numFmtId="0" xfId="0" applyBorder="1" applyFont="1"/>
    <xf borderId="1" fillId="0" fontId="9"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4" fillId="0" fontId="8" numFmtId="0" xfId="0" applyBorder="1" applyFont="1"/>
    <xf borderId="2" fillId="5" fontId="3" numFmtId="0" xfId="0" applyAlignment="1" applyBorder="1" applyFont="1">
      <alignment horizontal="center" readingOrder="0" shrinkToFit="0" vertical="center" wrapText="1"/>
    </xf>
    <xf borderId="2" fillId="0" fontId="4" numFmtId="0" xfId="0" applyAlignment="1" applyBorder="1" applyFont="1">
      <alignment horizontal="left" readingOrder="0" shrinkToFit="0" vertical="center" wrapText="1"/>
    </xf>
    <xf borderId="2" fillId="6" fontId="1" numFmtId="0" xfId="0" applyAlignment="1" applyBorder="1" applyFill="1" applyFont="1">
      <alignment horizontal="center" readingOrder="0" shrinkToFit="0" vertical="center" wrapText="1"/>
    </xf>
    <xf borderId="1" fillId="5" fontId="3" numFmtId="0" xfId="0" applyAlignment="1" applyBorder="1" applyFont="1">
      <alignment horizontal="center" readingOrder="0" shrinkToFit="0" vertical="center" wrapText="1"/>
    </xf>
    <xf borderId="2" fillId="7" fontId="1" numFmtId="0" xfId="0" applyAlignment="1" applyBorder="1" applyFill="1" applyFont="1">
      <alignment horizontal="center" readingOrder="0" shrinkToFit="0" vertical="center" wrapText="1"/>
    </xf>
    <xf borderId="2" fillId="8" fontId="1" numFmtId="0" xfId="0" applyAlignment="1" applyBorder="1" applyFill="1" applyFont="1">
      <alignment horizontal="center" readingOrder="0" shrinkToFit="0" vertical="center" wrapText="1"/>
    </xf>
    <xf borderId="1" fillId="3" fontId="3" numFmtId="0" xfId="0" applyAlignment="1" applyBorder="1" applyFont="1">
      <alignment horizontal="center" readingOrder="0" shrinkToFit="0" vertical="center" wrapText="1"/>
    </xf>
    <xf borderId="2" fillId="9" fontId="1" numFmtId="0" xfId="0" applyAlignment="1" applyBorder="1" applyFill="1" applyFont="1">
      <alignment horizontal="center" readingOrder="0" shrinkToFit="0" vertical="center" wrapText="1"/>
    </xf>
    <xf borderId="2" fillId="10" fontId="1" numFmtId="0" xfId="0" applyAlignment="1" applyBorder="1" applyFill="1" applyFont="1">
      <alignment horizontal="center" readingOrder="0" shrinkToFit="0" vertical="center" wrapText="1"/>
    </xf>
    <xf borderId="5" fillId="0" fontId="11" numFmtId="0" xfId="0" applyAlignment="1" applyBorder="1" applyFont="1">
      <alignment shrinkToFit="0" vertical="center" wrapText="0"/>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11" fillId="0" fontId="8" numFmtId="0" xfId="0" applyBorder="1" applyFont="1"/>
    <xf borderId="12" fillId="0" fontId="8" numFmtId="0" xfId="0" applyBorder="1" applyFont="1"/>
    <xf borderId="1" fillId="0" fontId="11" numFmtId="0" xfId="0" applyAlignment="1" applyBorder="1" applyFont="1">
      <alignment shrinkToFit="0" vertical="center" wrapText="0"/>
    </xf>
    <xf borderId="1" fillId="0" fontId="11" numFmtId="0" xfId="0" applyAlignment="1" applyBorder="1" applyFont="1">
      <alignment shrinkToFit="0" vertical="center" wrapText="1"/>
    </xf>
    <xf borderId="1" fillId="0" fontId="11" numFmtId="0" xfId="0" applyAlignment="1" applyBorder="1" applyFont="1">
      <alignment horizontal="center" shrinkToFit="0" vertical="center" wrapText="1"/>
    </xf>
    <xf borderId="0" fillId="11" fontId="12" numFmtId="0" xfId="0" applyAlignment="1" applyFill="1" applyFont="1">
      <alignment horizontal="center" readingOrder="0"/>
    </xf>
    <xf borderId="1" fillId="2" fontId="13" numFmtId="0" xfId="0" applyAlignment="1" applyBorder="1" applyFont="1">
      <alignment horizontal="center" readingOrder="0"/>
    </xf>
    <xf borderId="1" fillId="2" fontId="13" numFmtId="9" xfId="0" applyAlignment="1" applyBorder="1" applyFont="1" applyNumberFormat="1">
      <alignment horizontal="center" readingOrder="0"/>
    </xf>
    <xf borderId="1" fillId="4" fontId="13" numFmtId="0" xfId="0" applyAlignment="1" applyBorder="1" applyFont="1">
      <alignment horizontal="center" readingOrder="0"/>
    </xf>
    <xf borderId="1" fillId="0" fontId="14" numFmtId="0" xfId="0" applyAlignment="1" applyBorder="1" applyFont="1">
      <alignment readingOrder="0"/>
    </xf>
    <xf borderId="1" fillId="3" fontId="15" numFmtId="0" xfId="0" applyAlignment="1" applyBorder="1" applyFont="1">
      <alignment readingOrder="0"/>
    </xf>
    <xf borderId="1" fillId="0" fontId="14" numFmtId="0" xfId="0" applyAlignment="1" applyBorder="1" applyFont="1">
      <alignment horizontal="center" readingOrder="0"/>
    </xf>
    <xf borderId="1" fillId="3" fontId="16" numFmtId="9" xfId="0" applyAlignment="1" applyBorder="1" applyFont="1" applyNumberFormat="1">
      <alignment horizontal="center" readingOrder="0"/>
    </xf>
    <xf borderId="1" fillId="6" fontId="13" numFmtId="0" xfId="0" applyAlignment="1" applyBorder="1" applyFont="1">
      <alignment horizontal="center" readingOrder="0"/>
    </xf>
    <xf borderId="1" fillId="0" fontId="17" numFmtId="0" xfId="0" applyAlignment="1" applyBorder="1" applyFont="1">
      <alignment readingOrder="0"/>
    </xf>
    <xf borderId="1" fillId="5" fontId="15" numFmtId="0" xfId="0" applyAlignment="1" applyBorder="1" applyFont="1">
      <alignment readingOrder="0"/>
    </xf>
    <xf borderId="1" fillId="0" fontId="17" numFmtId="0" xfId="0" applyAlignment="1" applyBorder="1" applyFont="1">
      <alignment horizontal="center" readingOrder="0"/>
    </xf>
    <xf borderId="1" fillId="5" fontId="16" numFmtId="9" xfId="0" applyAlignment="1" applyBorder="1" applyFont="1" applyNumberFormat="1">
      <alignment horizontal="center" readingOrder="0"/>
    </xf>
    <xf borderId="1" fillId="7" fontId="13" numFmtId="0" xfId="0" applyAlignment="1" applyBorder="1" applyFont="1">
      <alignment horizontal="center" readingOrder="0"/>
    </xf>
    <xf borderId="1" fillId="0" fontId="18" numFmtId="0" xfId="0" applyAlignment="1" applyBorder="1" applyFont="1">
      <alignment readingOrder="0"/>
    </xf>
    <xf borderId="1" fillId="0" fontId="18" numFmtId="0" xfId="0" applyAlignment="1" applyBorder="1" applyFont="1">
      <alignment horizontal="center" readingOrder="0"/>
    </xf>
    <xf borderId="1" fillId="8" fontId="13" numFmtId="0" xfId="0" applyAlignment="1" applyBorder="1" applyFont="1">
      <alignment horizontal="center" readingOrder="0"/>
    </xf>
    <xf borderId="1" fillId="0" fontId="19" numFmtId="0" xfId="0" applyAlignment="1" applyBorder="1" applyFont="1">
      <alignment readingOrder="0"/>
    </xf>
    <xf borderId="1" fillId="0" fontId="19" numFmtId="0" xfId="0" applyAlignment="1" applyBorder="1" applyFont="1">
      <alignment horizontal="center" readingOrder="0"/>
    </xf>
    <xf borderId="1" fillId="9" fontId="13" numFmtId="0" xfId="0" applyAlignment="1" applyBorder="1" applyFont="1">
      <alignment horizontal="center" readingOrder="0"/>
    </xf>
    <xf borderId="1" fillId="0" fontId="20" numFmtId="0" xfId="0" applyAlignment="1" applyBorder="1" applyFont="1">
      <alignment readingOrder="0"/>
    </xf>
    <xf borderId="1" fillId="0" fontId="20" numFmtId="0" xfId="0" applyAlignment="1" applyBorder="1" applyFont="1">
      <alignment horizontal="center" readingOrder="0"/>
    </xf>
    <xf borderId="1" fillId="10" fontId="13" numFmtId="0" xfId="0" applyAlignment="1" applyBorder="1" applyFont="1">
      <alignment horizontal="center" readingOrder="0"/>
    </xf>
    <xf borderId="1" fillId="0" fontId="21" numFmtId="0" xfId="0" applyAlignment="1" applyBorder="1" applyFont="1">
      <alignment readingOrder="0"/>
    </xf>
    <xf borderId="1" fillId="0" fontId="21" numFmtId="0" xfId="0" applyAlignment="1" applyBorder="1" applyFont="1">
      <alignment horizontal="center" readingOrder="0"/>
    </xf>
    <xf borderId="13" fillId="11" fontId="22" numFmtId="0" xfId="0" applyAlignment="1" applyBorder="1" applyFont="1">
      <alignment horizontal="center" readingOrder="0"/>
    </xf>
    <xf borderId="14" fillId="0" fontId="8" numFmtId="0" xfId="0" applyBorder="1" applyFont="1"/>
    <xf borderId="1" fillId="11" fontId="22" numFmtId="0" xfId="0" applyAlignment="1" applyBorder="1" applyFont="1">
      <alignment horizontal="center" readingOrder="0"/>
    </xf>
    <xf borderId="1" fillId="11" fontId="23" numFmtId="0" xfId="0" applyAlignment="1" applyBorder="1" applyFont="1">
      <alignment horizontal="center" readingOrder="0"/>
    </xf>
    <xf borderId="1" fillId="11" fontId="22" numFmtId="9" xfId="0" applyAlignment="1" applyBorder="1" applyFont="1" applyNumberFormat="1">
      <alignment horizontal="center" readingOrder="0"/>
    </xf>
    <xf borderId="0" fillId="0" fontId="24" numFmtId="0" xfId="0" applyAlignment="1" applyFont="1">
      <alignment shrinkToFit="0" wrapText="0"/>
    </xf>
    <xf borderId="0" fillId="0" fontId="24" numFmtId="9" xfId="0" applyAlignment="1" applyFont="1" applyNumberFormat="1">
      <alignment shrinkToFit="0" wrapText="0"/>
    </xf>
    <xf borderId="0" fillId="11" fontId="12" numFmtId="0" xfId="0" applyAlignment="1" applyFont="1">
      <alignment horizontal="center" readingOrder="0" shrinkToFit="0" vertical="center" wrapText="1"/>
    </xf>
    <xf borderId="0" fillId="0" fontId="25" numFmtId="0" xfId="0" applyAlignment="1" applyFont="1">
      <alignment readingOrder="0" shrinkToFit="0" vertical="center" wrapText="1"/>
    </xf>
    <xf borderId="1" fillId="2" fontId="26" numFmtId="0" xfId="0" applyAlignment="1" applyBorder="1" applyFont="1">
      <alignment horizontal="center" readingOrder="0" shrinkToFit="0" vertical="center" wrapText="1"/>
    </xf>
    <xf borderId="1" fillId="3" fontId="27" numFmtId="0" xfId="0" applyAlignment="1" applyBorder="1" applyFont="1">
      <alignment horizontal="center" readingOrder="0" shrinkToFit="0" vertical="center" wrapText="1"/>
    </xf>
    <xf borderId="1" fillId="3" fontId="28" numFmtId="0" xfId="0" applyAlignment="1" applyBorder="1" applyFont="1">
      <alignment horizontal="left" readingOrder="0" shrinkToFit="0" vertical="center" wrapText="1"/>
    </xf>
    <xf borderId="1" fillId="3" fontId="29" numFmtId="0" xfId="0" applyAlignment="1" applyBorder="1" applyFont="1">
      <alignment horizontal="center" readingOrder="0" shrinkToFit="0" vertical="center" wrapText="1"/>
    </xf>
    <xf borderId="1" fillId="3" fontId="30" numFmtId="0" xfId="0" applyAlignment="1" applyBorder="1" applyFont="1">
      <alignment horizontal="center" readingOrder="0" shrinkToFit="0" vertical="center" wrapText="1"/>
    </xf>
    <xf borderId="1" fillId="3" fontId="30" numFmtId="0" xfId="0" applyAlignment="1" applyBorder="1" applyFont="1">
      <alignment horizontal="left" readingOrder="0" shrinkToFit="0" vertical="center" wrapText="1"/>
    </xf>
    <xf borderId="1" fillId="3" fontId="31" numFmtId="0" xfId="0" applyAlignment="1" applyBorder="1" applyFont="1">
      <alignment horizontal="left" readingOrder="0" shrinkToFit="0" vertical="center" wrapText="1"/>
    </xf>
    <xf borderId="1" fillId="3" fontId="32" numFmtId="0" xfId="0" applyAlignment="1" applyBorder="1" applyFont="1">
      <alignment horizontal="left" readingOrder="0" shrinkToFit="0" vertical="center" wrapText="1"/>
    </xf>
    <xf borderId="1" fillId="5" fontId="27" numFmtId="0" xfId="0" applyAlignment="1" applyBorder="1" applyFont="1">
      <alignment horizontal="center" readingOrder="0" shrinkToFit="0" vertical="center" wrapText="1"/>
    </xf>
    <xf borderId="1" fillId="5" fontId="28" numFmtId="0" xfId="0" applyAlignment="1" applyBorder="1" applyFont="1">
      <alignment horizontal="left" readingOrder="0" shrinkToFit="0" vertical="center" wrapText="1"/>
    </xf>
    <xf borderId="1" fillId="5" fontId="29" numFmtId="0" xfId="0" applyAlignment="1" applyBorder="1" applyFont="1">
      <alignment horizontal="center" readingOrder="0" shrinkToFit="0" vertical="center" wrapText="1"/>
    </xf>
    <xf borderId="1" fillId="5" fontId="30" numFmtId="0" xfId="0" applyAlignment="1" applyBorder="1" applyFont="1">
      <alignment horizontal="center" readingOrder="0" shrinkToFit="0" vertical="center" wrapText="1"/>
    </xf>
    <xf borderId="1" fillId="5" fontId="30" numFmtId="0" xfId="0" applyAlignment="1" applyBorder="1" applyFont="1">
      <alignment horizontal="left" readingOrder="0" shrinkToFit="0" vertical="center" wrapText="1"/>
    </xf>
    <xf borderId="1" fillId="5" fontId="31" numFmtId="0" xfId="0" applyAlignment="1" applyBorder="1" applyFont="1">
      <alignment horizontal="left" readingOrder="0" shrinkToFit="0" vertical="center" wrapText="1"/>
    </xf>
    <xf borderId="1" fillId="5" fontId="32" numFmtId="0" xfId="0" applyAlignment="1" applyBorder="1" applyFont="1">
      <alignment horizontal="left" readingOrder="0" shrinkToFit="0" vertical="center" wrapText="1"/>
    </xf>
    <xf borderId="13" fillId="11" fontId="22" numFmtId="0" xfId="0" applyAlignment="1" applyBorder="1" applyFont="1">
      <alignment horizontal="right" readingOrder="0" shrinkToFit="0" vertical="center" wrapText="1"/>
    </xf>
    <xf borderId="13" fillId="11" fontId="12" numFmtId="0" xfId="0" applyAlignment="1" applyBorder="1" applyFont="1">
      <alignment horizontal="center" readingOrder="0" shrinkToFit="0" vertical="center" wrapText="1"/>
    </xf>
    <xf borderId="15" fillId="0" fontId="8" numFmtId="0" xfId="0" applyBorder="1" applyFont="1"/>
    <xf borderId="0" fillId="0" fontId="33" numFmtId="0" xfId="0" applyAlignment="1" applyFont="1">
      <alignment shrinkToFit="0" vertical="center" wrapText="1"/>
    </xf>
    <xf borderId="1" fillId="3" fontId="34" numFmtId="0" xfId="0" applyAlignment="1" applyBorder="1" applyFont="1">
      <alignment horizontal="left" readingOrder="0" shrinkToFit="0" vertical="center" wrapText="1"/>
    </xf>
    <xf borderId="1" fillId="3" fontId="35" numFmtId="0" xfId="0" applyAlignment="1" applyBorder="1" applyFont="1">
      <alignment horizontal="center" readingOrder="0" shrinkToFit="0" vertical="center" wrapText="1"/>
    </xf>
    <xf borderId="1" fillId="3" fontId="32" numFmtId="0" xfId="0" applyAlignment="1" applyBorder="1" applyFont="1">
      <alignment horizontal="center" readingOrder="0" shrinkToFit="0" vertical="center" wrapText="1"/>
    </xf>
    <xf borderId="1" fillId="5" fontId="34" numFmtId="0" xfId="0" applyAlignment="1" applyBorder="1" applyFont="1">
      <alignment horizontal="left" readingOrder="0" shrinkToFit="0" vertical="center" wrapText="1"/>
    </xf>
    <xf borderId="1" fillId="5" fontId="35" numFmtId="0" xfId="0" applyAlignment="1" applyBorder="1" applyFont="1">
      <alignment horizontal="center" readingOrder="0" shrinkToFit="0" vertical="center" wrapText="1"/>
    </xf>
    <xf borderId="1" fillId="5" fontId="32" numFmtId="0" xfId="0" applyAlignment="1" applyBorder="1" applyFont="1">
      <alignment horizontal="center" readingOrder="0" shrinkToFit="0" vertical="center" wrapText="1"/>
    </xf>
    <xf borderId="1" fillId="3" fontId="36" numFmtId="0" xfId="0" applyAlignment="1" applyBorder="1" applyFont="1">
      <alignment horizontal="center" readingOrder="0" shrinkToFit="0" vertical="center" wrapText="1"/>
    </xf>
    <xf borderId="1" fillId="3" fontId="30" numFmtId="0" xfId="0" applyAlignment="1" applyBorder="1" applyFont="1">
      <alignment horizontal="right" readingOrder="0" shrinkToFit="0" vertical="center" wrapText="1"/>
    </xf>
    <xf borderId="1" fillId="3" fontId="37" numFmtId="0" xfId="0" applyAlignment="1" applyBorder="1" applyFont="1">
      <alignment readingOrder="0" shrinkToFit="0" vertical="center" wrapText="1"/>
    </xf>
    <xf borderId="1" fillId="3" fontId="30" numFmtId="0" xfId="0" applyAlignment="1" applyBorder="1" applyFont="1">
      <alignment readingOrder="0" shrinkToFit="0" vertical="center" wrapText="1"/>
    </xf>
    <xf borderId="1" fillId="3" fontId="38" numFmtId="0" xfId="0" applyAlignment="1" applyBorder="1" applyFont="1">
      <alignment readingOrder="0" shrinkToFit="0" vertical="center" wrapText="1"/>
    </xf>
    <xf borderId="1" fillId="5" fontId="30" numFmtId="0" xfId="0" applyAlignment="1" applyBorder="1" applyFont="1">
      <alignment horizontal="right" readingOrder="0" shrinkToFit="0" vertical="center" wrapText="1"/>
    </xf>
    <xf borderId="1" fillId="5" fontId="37" numFmtId="0" xfId="0" applyAlignment="1" applyBorder="1" applyFont="1">
      <alignment readingOrder="0" shrinkToFit="0" vertical="center" wrapText="1"/>
    </xf>
    <xf borderId="1" fillId="5" fontId="30" numFmtId="0" xfId="0" applyAlignment="1" applyBorder="1" applyFont="1">
      <alignment readingOrder="0" shrinkToFit="0" vertical="center" wrapText="1"/>
    </xf>
    <xf borderId="1" fillId="5" fontId="38" numFmtId="0" xfId="0" applyAlignment="1" applyBorder="1" applyFont="1">
      <alignment readingOrder="0" shrinkToFit="0" vertical="center" wrapText="1"/>
    </xf>
    <xf borderId="16" fillId="2" fontId="26" numFmtId="0" xfId="0" applyAlignment="1" applyBorder="1" applyFont="1">
      <alignment horizontal="center" readingOrder="0" shrinkToFit="0" vertical="center" wrapText="1"/>
    </xf>
    <xf borderId="17" fillId="2" fontId="26" numFmtId="0" xfId="0" applyAlignment="1" applyBorder="1" applyFont="1">
      <alignment horizontal="center" readingOrder="0" shrinkToFit="0" vertical="center" wrapText="1"/>
    </xf>
    <xf borderId="17" fillId="0" fontId="8" numFmtId="0" xfId="0" applyBorder="1" applyFont="1"/>
    <xf borderId="18" fillId="0" fontId="8" numFmtId="0" xfId="0" applyBorder="1" applyFont="1"/>
    <xf borderId="1" fillId="3" fontId="39" numFmtId="0" xfId="0" applyAlignment="1" applyBorder="1" applyFont="1">
      <alignment readingOrder="0" shrinkToFit="0" vertical="center" wrapText="1"/>
    </xf>
    <xf borderId="13" fillId="3" fontId="30" numFmtId="0" xfId="0" applyAlignment="1" applyBorder="1" applyFont="1">
      <alignment readingOrder="0" shrinkToFit="0" vertical="center" wrapText="1"/>
    </xf>
    <xf borderId="1" fillId="5" fontId="39" numFmtId="0" xfId="0" applyAlignment="1" applyBorder="1" applyFont="1">
      <alignment readingOrder="0" shrinkToFit="0" vertical="center" wrapText="1"/>
    </xf>
    <xf borderId="13" fillId="5" fontId="30" numFmtId="0" xfId="0" applyAlignment="1" applyBorder="1" applyFont="1">
      <alignment readingOrder="0" shrinkToFit="0" vertical="center" wrapText="1"/>
    </xf>
    <xf borderId="0" fillId="0" fontId="40" numFmtId="0" xfId="0" applyAlignment="1" applyFont="1">
      <alignment horizontal="center" readingOrder="0" shrinkToFit="0" vertical="center" wrapText="1"/>
    </xf>
    <xf borderId="0" fillId="0" fontId="2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571500</xdr:colOff>
      <xdr:row>225</xdr:row>
      <xdr:rowOff>3705225</xdr:rowOff>
    </xdr:from>
    <xdr:ext cx="6200775" cy="21621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20.38"/>
    <col customWidth="1" min="7" max="7" width="39.25"/>
    <col customWidth="1" min="8" max="11" width="13.0"/>
    <col customWidth="1" min="12" max="12" width="5.38"/>
    <col customWidth="1" min="13" max="13" width="12.63"/>
    <col customWidth="1" min="14" max="14" width="13.0"/>
    <col customWidth="1" min="15" max="15" width="10.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c r="A2" s="3">
        <v>1.0</v>
      </c>
      <c r="B2" s="4" t="s">
        <v>15</v>
      </c>
      <c r="C2" s="5" t="s">
        <v>16</v>
      </c>
      <c r="D2" s="6" t="s">
        <v>17</v>
      </c>
      <c r="E2" s="7" t="s">
        <v>18</v>
      </c>
      <c r="F2" s="6" t="s">
        <v>19</v>
      </c>
      <c r="G2" s="8" t="s">
        <v>20</v>
      </c>
      <c r="H2" s="6" t="s">
        <v>21</v>
      </c>
      <c r="I2" s="6" t="s">
        <v>22</v>
      </c>
      <c r="J2" s="6" t="s">
        <v>23</v>
      </c>
      <c r="K2" s="6" t="s">
        <v>24</v>
      </c>
      <c r="L2" s="9" t="s">
        <v>25</v>
      </c>
      <c r="M2" s="6" t="s">
        <v>26</v>
      </c>
      <c r="N2" s="6" t="s">
        <v>27</v>
      </c>
      <c r="O2" s="10" t="s">
        <v>28</v>
      </c>
    </row>
    <row r="3">
      <c r="A3" s="11">
        <v>2.0</v>
      </c>
      <c r="B3" s="12"/>
      <c r="C3" s="12"/>
      <c r="D3" s="6" t="s">
        <v>17</v>
      </c>
      <c r="E3" s="7" t="s">
        <v>29</v>
      </c>
      <c r="F3" s="6" t="s">
        <v>30</v>
      </c>
      <c r="G3" s="8" t="s">
        <v>31</v>
      </c>
      <c r="H3" s="6" t="s">
        <v>32</v>
      </c>
      <c r="I3" s="6" t="s">
        <v>33</v>
      </c>
      <c r="J3" s="6" t="s">
        <v>34</v>
      </c>
      <c r="K3" s="6" t="s">
        <v>35</v>
      </c>
      <c r="L3" s="9" t="s">
        <v>25</v>
      </c>
      <c r="M3" s="6" t="s">
        <v>26</v>
      </c>
      <c r="N3" s="6" t="s">
        <v>36</v>
      </c>
      <c r="O3" s="10" t="s">
        <v>37</v>
      </c>
    </row>
    <row r="4">
      <c r="A4" s="3">
        <v>3.0</v>
      </c>
      <c r="B4" s="12"/>
      <c r="C4" s="12"/>
      <c r="D4" s="6" t="s">
        <v>17</v>
      </c>
      <c r="E4" s="7" t="s">
        <v>38</v>
      </c>
      <c r="F4" s="6" t="s">
        <v>39</v>
      </c>
      <c r="G4" s="8" t="s">
        <v>40</v>
      </c>
      <c r="H4" s="6" t="s">
        <v>41</v>
      </c>
      <c r="I4" s="6" t="s">
        <v>42</v>
      </c>
      <c r="J4" s="6" t="s">
        <v>43</v>
      </c>
      <c r="K4" s="6" t="s">
        <v>44</v>
      </c>
      <c r="L4" s="13" t="s">
        <v>45</v>
      </c>
      <c r="M4" s="6" t="s">
        <v>26</v>
      </c>
      <c r="N4" s="6" t="s">
        <v>46</v>
      </c>
      <c r="O4" s="10" t="s">
        <v>28</v>
      </c>
    </row>
    <row r="5">
      <c r="A5" s="11">
        <v>4.0</v>
      </c>
      <c r="B5" s="12"/>
      <c r="C5" s="12"/>
      <c r="D5" s="6" t="s">
        <v>17</v>
      </c>
      <c r="E5" s="7" t="s">
        <v>47</v>
      </c>
      <c r="F5" s="6" t="s">
        <v>48</v>
      </c>
      <c r="G5" s="8" t="s">
        <v>49</v>
      </c>
      <c r="H5" s="6" t="s">
        <v>50</v>
      </c>
      <c r="I5" s="6" t="s">
        <v>51</v>
      </c>
      <c r="J5" s="6" t="s">
        <v>52</v>
      </c>
      <c r="K5" s="6" t="s">
        <v>53</v>
      </c>
      <c r="L5" s="14" t="s">
        <v>54</v>
      </c>
      <c r="M5" s="6" t="s">
        <v>55</v>
      </c>
      <c r="N5" s="6" t="s">
        <v>56</v>
      </c>
      <c r="O5" s="10" t="s">
        <v>57</v>
      </c>
    </row>
    <row r="6">
      <c r="A6" s="3">
        <v>5.0</v>
      </c>
      <c r="B6" s="12"/>
      <c r="C6" s="12"/>
      <c r="D6" s="6" t="s">
        <v>17</v>
      </c>
      <c r="E6" s="7" t="s">
        <v>58</v>
      </c>
      <c r="F6" s="6" t="s">
        <v>59</v>
      </c>
      <c r="G6" s="8" t="s">
        <v>60</v>
      </c>
      <c r="H6" s="6" t="s">
        <v>61</v>
      </c>
      <c r="I6" s="6" t="s">
        <v>62</v>
      </c>
      <c r="J6" s="6" t="s">
        <v>63</v>
      </c>
      <c r="K6" s="6" t="s">
        <v>64</v>
      </c>
      <c r="L6" s="9" t="s">
        <v>25</v>
      </c>
      <c r="M6" s="6" t="s">
        <v>65</v>
      </c>
      <c r="N6" s="6" t="s">
        <v>66</v>
      </c>
      <c r="O6" s="10" t="s">
        <v>67</v>
      </c>
    </row>
    <row r="7">
      <c r="A7" s="11">
        <v>6.0</v>
      </c>
      <c r="B7" s="12"/>
      <c r="C7" s="15"/>
      <c r="D7" s="6" t="s">
        <v>17</v>
      </c>
      <c r="E7" s="7" t="s">
        <v>68</v>
      </c>
      <c r="F7" s="6" t="s">
        <v>69</v>
      </c>
      <c r="G7" s="8" t="s">
        <v>70</v>
      </c>
      <c r="H7" s="6" t="s">
        <v>71</v>
      </c>
      <c r="I7" s="6" t="s">
        <v>72</v>
      </c>
      <c r="J7" s="6" t="s">
        <v>73</v>
      </c>
      <c r="K7" s="6" t="s">
        <v>74</v>
      </c>
      <c r="L7" s="9" t="s">
        <v>25</v>
      </c>
      <c r="M7" s="6" t="s">
        <v>75</v>
      </c>
      <c r="N7" s="6" t="s">
        <v>76</v>
      </c>
      <c r="O7" s="10" t="s">
        <v>37</v>
      </c>
    </row>
    <row r="8">
      <c r="A8" s="3">
        <v>7.0</v>
      </c>
      <c r="B8" s="12"/>
      <c r="C8" s="5" t="s">
        <v>77</v>
      </c>
      <c r="D8" s="6" t="s">
        <v>17</v>
      </c>
      <c r="E8" s="7" t="s">
        <v>78</v>
      </c>
      <c r="F8" s="6" t="s">
        <v>79</v>
      </c>
      <c r="G8" s="8" t="s">
        <v>80</v>
      </c>
      <c r="H8" s="6" t="s">
        <v>81</v>
      </c>
      <c r="I8" s="6" t="s">
        <v>82</v>
      </c>
      <c r="J8" s="6" t="s">
        <v>83</v>
      </c>
      <c r="K8" s="6" t="s">
        <v>84</v>
      </c>
      <c r="L8" s="9" t="s">
        <v>25</v>
      </c>
      <c r="M8" s="6" t="s">
        <v>75</v>
      </c>
      <c r="N8" s="6" t="s">
        <v>85</v>
      </c>
      <c r="O8" s="10" t="s">
        <v>86</v>
      </c>
    </row>
    <row r="9">
      <c r="A9" s="11">
        <v>8.0</v>
      </c>
      <c r="B9" s="12"/>
      <c r="C9" s="12"/>
      <c r="D9" s="6" t="s">
        <v>17</v>
      </c>
      <c r="E9" s="7" t="s">
        <v>87</v>
      </c>
      <c r="F9" s="6" t="s">
        <v>88</v>
      </c>
      <c r="G9" s="8" t="s">
        <v>89</v>
      </c>
      <c r="H9" s="6" t="s">
        <v>90</v>
      </c>
      <c r="I9" s="6" t="s">
        <v>91</v>
      </c>
      <c r="J9" s="6" t="s">
        <v>92</v>
      </c>
      <c r="K9" s="6" t="s">
        <v>93</v>
      </c>
      <c r="L9" s="14" t="s">
        <v>54</v>
      </c>
      <c r="M9" s="6" t="s">
        <v>75</v>
      </c>
      <c r="N9" s="6" t="s">
        <v>94</v>
      </c>
      <c r="O9" s="10" t="s">
        <v>86</v>
      </c>
    </row>
    <row r="10">
      <c r="A10" s="3">
        <v>9.0</v>
      </c>
      <c r="B10" s="12"/>
      <c r="C10" s="12"/>
      <c r="D10" s="6" t="s">
        <v>17</v>
      </c>
      <c r="E10" s="7" t="s">
        <v>95</v>
      </c>
      <c r="F10" s="6" t="s">
        <v>96</v>
      </c>
      <c r="G10" s="8" t="s">
        <v>97</v>
      </c>
      <c r="H10" s="6" t="s">
        <v>98</v>
      </c>
      <c r="I10" s="6" t="s">
        <v>99</v>
      </c>
      <c r="J10" s="6" t="s">
        <v>100</v>
      </c>
      <c r="K10" s="6" t="s">
        <v>101</v>
      </c>
      <c r="L10" s="13" t="s">
        <v>45</v>
      </c>
      <c r="M10" s="6" t="s">
        <v>102</v>
      </c>
      <c r="N10" s="6" t="s">
        <v>103</v>
      </c>
      <c r="O10" s="10" t="s">
        <v>28</v>
      </c>
    </row>
    <row r="11">
      <c r="A11" s="11">
        <v>10.0</v>
      </c>
      <c r="B11" s="12"/>
      <c r="C11" s="12"/>
      <c r="D11" s="6" t="s">
        <v>17</v>
      </c>
      <c r="E11" s="7" t="s">
        <v>104</v>
      </c>
      <c r="F11" s="6" t="s">
        <v>105</v>
      </c>
      <c r="G11" s="8" t="s">
        <v>106</v>
      </c>
      <c r="H11" s="6" t="s">
        <v>107</v>
      </c>
      <c r="I11" s="6" t="s">
        <v>108</v>
      </c>
      <c r="J11" s="6" t="s">
        <v>109</v>
      </c>
      <c r="K11" s="6" t="s">
        <v>110</v>
      </c>
      <c r="L11" s="13" t="s">
        <v>45</v>
      </c>
      <c r="M11" s="6" t="s">
        <v>75</v>
      </c>
      <c r="N11" s="6" t="s">
        <v>111</v>
      </c>
      <c r="O11" s="10" t="s">
        <v>112</v>
      </c>
    </row>
    <row r="12">
      <c r="A12" s="3">
        <v>11.0</v>
      </c>
      <c r="B12" s="12"/>
      <c r="C12" s="15"/>
      <c r="D12" s="6" t="s">
        <v>17</v>
      </c>
      <c r="E12" s="7" t="s">
        <v>113</v>
      </c>
      <c r="F12" s="6" t="s">
        <v>114</v>
      </c>
      <c r="G12" s="8" t="s">
        <v>115</v>
      </c>
      <c r="H12" s="6" t="s">
        <v>116</v>
      </c>
      <c r="I12" s="6" t="s">
        <v>117</v>
      </c>
      <c r="J12" s="6" t="s">
        <v>118</v>
      </c>
      <c r="K12" s="6" t="s">
        <v>119</v>
      </c>
      <c r="L12" s="9" t="s">
        <v>25</v>
      </c>
      <c r="M12" s="6" t="s">
        <v>75</v>
      </c>
      <c r="N12" s="6" t="s">
        <v>120</v>
      </c>
      <c r="O12" s="10" t="s">
        <v>112</v>
      </c>
    </row>
    <row r="13">
      <c r="A13" s="11">
        <v>12.0</v>
      </c>
      <c r="B13" s="12"/>
      <c r="C13" s="16" t="s">
        <v>121</v>
      </c>
      <c r="D13" s="6" t="s">
        <v>17</v>
      </c>
      <c r="E13" s="7" t="s">
        <v>122</v>
      </c>
      <c r="F13" s="6" t="s">
        <v>123</v>
      </c>
      <c r="G13" s="8" t="s">
        <v>124</v>
      </c>
      <c r="H13" s="6" t="s">
        <v>125</v>
      </c>
      <c r="I13" s="6" t="s">
        <v>126</v>
      </c>
      <c r="J13" s="6" t="s">
        <v>127</v>
      </c>
      <c r="K13" s="6" t="s">
        <v>128</v>
      </c>
      <c r="L13" s="9" t="s">
        <v>25</v>
      </c>
      <c r="M13" s="6" t="s">
        <v>129</v>
      </c>
      <c r="N13" s="6" t="s">
        <v>130</v>
      </c>
      <c r="O13" s="10" t="s">
        <v>131</v>
      </c>
    </row>
    <row r="14">
      <c r="A14" s="3">
        <v>13.0</v>
      </c>
      <c r="B14" s="12"/>
      <c r="C14" s="15"/>
      <c r="D14" s="6" t="s">
        <v>17</v>
      </c>
      <c r="E14" s="7" t="s">
        <v>132</v>
      </c>
      <c r="F14" s="6" t="s">
        <v>133</v>
      </c>
      <c r="G14" s="8" t="s">
        <v>134</v>
      </c>
      <c r="H14" s="6" t="s">
        <v>135</v>
      </c>
      <c r="I14" s="6" t="s">
        <v>136</v>
      </c>
      <c r="J14" s="6" t="s">
        <v>137</v>
      </c>
      <c r="K14" s="6" t="s">
        <v>138</v>
      </c>
      <c r="L14" s="9" t="s">
        <v>25</v>
      </c>
      <c r="M14" s="6" t="s">
        <v>139</v>
      </c>
      <c r="N14" s="6" t="s">
        <v>140</v>
      </c>
      <c r="O14" s="10" t="s">
        <v>131</v>
      </c>
    </row>
    <row r="15">
      <c r="A15" s="11">
        <v>14.0</v>
      </c>
      <c r="B15" s="12"/>
      <c r="C15" s="16" t="s">
        <v>141</v>
      </c>
      <c r="D15" s="6" t="s">
        <v>142</v>
      </c>
      <c r="E15" s="7" t="s">
        <v>143</v>
      </c>
      <c r="F15" s="6" t="s">
        <v>144</v>
      </c>
      <c r="G15" s="8" t="s">
        <v>145</v>
      </c>
      <c r="H15" s="6" t="s">
        <v>146</v>
      </c>
      <c r="I15" s="6" t="s">
        <v>147</v>
      </c>
      <c r="J15" s="6" t="s">
        <v>148</v>
      </c>
      <c r="K15" s="6" t="s">
        <v>149</v>
      </c>
      <c r="L15" s="9" t="s">
        <v>25</v>
      </c>
      <c r="M15" s="6" t="s">
        <v>75</v>
      </c>
      <c r="N15" s="6" t="s">
        <v>150</v>
      </c>
      <c r="O15" s="10" t="s">
        <v>151</v>
      </c>
    </row>
    <row r="16">
      <c r="A16" s="3">
        <v>15.0</v>
      </c>
      <c r="B16" s="12"/>
      <c r="C16" s="15"/>
      <c r="D16" s="6" t="s">
        <v>142</v>
      </c>
      <c r="E16" s="7" t="s">
        <v>152</v>
      </c>
      <c r="F16" s="6" t="s">
        <v>153</v>
      </c>
      <c r="G16" s="8" t="s">
        <v>154</v>
      </c>
      <c r="H16" s="6" t="s">
        <v>155</v>
      </c>
      <c r="I16" s="6" t="s">
        <v>156</v>
      </c>
      <c r="J16" s="6" t="s">
        <v>157</v>
      </c>
      <c r="K16" s="6" t="s">
        <v>158</v>
      </c>
      <c r="L16" s="13" t="s">
        <v>45</v>
      </c>
      <c r="M16" s="6" t="s">
        <v>75</v>
      </c>
      <c r="N16" s="6" t="s">
        <v>150</v>
      </c>
      <c r="O16" s="10" t="s">
        <v>159</v>
      </c>
    </row>
    <row r="17">
      <c r="A17" s="11">
        <v>215.0</v>
      </c>
      <c r="B17" s="12"/>
      <c r="C17" s="16" t="s">
        <v>160</v>
      </c>
      <c r="D17" s="17" t="s">
        <v>161</v>
      </c>
      <c r="E17" s="7" t="s">
        <v>162</v>
      </c>
      <c r="F17" s="6" t="s">
        <v>163</v>
      </c>
      <c r="G17" s="8" t="s">
        <v>164</v>
      </c>
      <c r="H17" s="6" t="s">
        <v>165</v>
      </c>
      <c r="I17" s="6" t="s">
        <v>166</v>
      </c>
      <c r="J17" s="6" t="s">
        <v>167</v>
      </c>
      <c r="K17" s="6" t="s">
        <v>168</v>
      </c>
      <c r="L17" s="13" t="s">
        <v>45</v>
      </c>
      <c r="M17" s="6" t="s">
        <v>169</v>
      </c>
      <c r="N17" s="6" t="s">
        <v>170</v>
      </c>
      <c r="O17" s="10" t="s">
        <v>171</v>
      </c>
    </row>
    <row r="18">
      <c r="A18" s="11">
        <v>216.0</v>
      </c>
      <c r="B18" s="12"/>
      <c r="C18" s="12"/>
      <c r="D18" s="12"/>
      <c r="E18" s="7" t="s">
        <v>172</v>
      </c>
      <c r="F18" s="6" t="s">
        <v>173</v>
      </c>
      <c r="G18" s="8" t="s">
        <v>174</v>
      </c>
      <c r="H18" s="6" t="s">
        <v>175</v>
      </c>
      <c r="I18" s="6" t="s">
        <v>176</v>
      </c>
      <c r="J18" s="6" t="s">
        <v>177</v>
      </c>
      <c r="K18" s="6" t="s">
        <v>178</v>
      </c>
      <c r="L18" s="13" t="s">
        <v>45</v>
      </c>
      <c r="M18" s="6" t="s">
        <v>179</v>
      </c>
      <c r="N18" s="6" t="s">
        <v>180</v>
      </c>
      <c r="O18" s="10" t="s">
        <v>181</v>
      </c>
    </row>
    <row r="19">
      <c r="A19" s="11">
        <v>217.0</v>
      </c>
      <c r="B19" s="12"/>
      <c r="C19" s="12"/>
      <c r="D19" s="12"/>
      <c r="E19" s="7" t="s">
        <v>182</v>
      </c>
      <c r="F19" s="6" t="s">
        <v>183</v>
      </c>
      <c r="G19" s="8" t="s">
        <v>184</v>
      </c>
      <c r="H19" s="6" t="s">
        <v>185</v>
      </c>
      <c r="I19" s="6" t="s">
        <v>186</v>
      </c>
      <c r="J19" s="6" t="s">
        <v>187</v>
      </c>
      <c r="K19" s="6" t="s">
        <v>188</v>
      </c>
      <c r="L19" s="13" t="s">
        <v>45</v>
      </c>
      <c r="M19" s="6" t="s">
        <v>189</v>
      </c>
      <c r="N19" s="6" t="s">
        <v>190</v>
      </c>
      <c r="O19" s="10" t="s">
        <v>171</v>
      </c>
    </row>
    <row r="20">
      <c r="A20" s="11">
        <v>218.0</v>
      </c>
      <c r="B20" s="12"/>
      <c r="C20" s="15"/>
      <c r="D20" s="15"/>
      <c r="E20" s="7" t="s">
        <v>191</v>
      </c>
      <c r="F20" s="6" t="s">
        <v>192</v>
      </c>
      <c r="G20" s="8" t="s">
        <v>193</v>
      </c>
      <c r="H20" s="6" t="s">
        <v>194</v>
      </c>
      <c r="I20" s="6" t="s">
        <v>195</v>
      </c>
      <c r="J20" s="6" t="s">
        <v>196</v>
      </c>
      <c r="K20" s="6" t="s">
        <v>197</v>
      </c>
      <c r="L20" s="13" t="s">
        <v>45</v>
      </c>
      <c r="M20" s="6" t="s">
        <v>198</v>
      </c>
      <c r="N20" s="6" t="s">
        <v>170</v>
      </c>
      <c r="O20" s="10" t="s">
        <v>171</v>
      </c>
    </row>
    <row r="21">
      <c r="A21" s="11">
        <v>16.0</v>
      </c>
      <c r="B21" s="12"/>
      <c r="C21" s="16" t="s">
        <v>160</v>
      </c>
      <c r="D21" s="6" t="s">
        <v>199</v>
      </c>
      <c r="E21" s="7" t="s">
        <v>200</v>
      </c>
      <c r="F21" s="6" t="s">
        <v>201</v>
      </c>
      <c r="G21" s="8" t="s">
        <v>202</v>
      </c>
      <c r="H21" s="6" t="s">
        <v>203</v>
      </c>
      <c r="I21" s="6" t="s">
        <v>204</v>
      </c>
      <c r="J21" s="6" t="s">
        <v>205</v>
      </c>
      <c r="K21" s="6" t="s">
        <v>206</v>
      </c>
      <c r="L21" s="9" t="s">
        <v>25</v>
      </c>
      <c r="M21" s="6" t="s">
        <v>207</v>
      </c>
      <c r="N21" s="6" t="s">
        <v>208</v>
      </c>
      <c r="O21" s="10" t="s">
        <v>151</v>
      </c>
    </row>
    <row r="22">
      <c r="A22" s="3">
        <v>17.0</v>
      </c>
      <c r="B22" s="12"/>
      <c r="C22" s="12"/>
      <c r="D22" s="6" t="s">
        <v>199</v>
      </c>
      <c r="E22" s="7" t="s">
        <v>209</v>
      </c>
      <c r="F22" s="6" t="s">
        <v>210</v>
      </c>
      <c r="G22" s="8" t="s">
        <v>211</v>
      </c>
      <c r="H22" s="6" t="s">
        <v>212</v>
      </c>
      <c r="I22" s="6" t="s">
        <v>213</v>
      </c>
      <c r="J22" s="6" t="s">
        <v>214</v>
      </c>
      <c r="K22" s="6" t="s">
        <v>215</v>
      </c>
      <c r="L22" s="13" t="s">
        <v>45</v>
      </c>
      <c r="M22" s="6" t="s">
        <v>216</v>
      </c>
      <c r="N22" s="6" t="s">
        <v>217</v>
      </c>
      <c r="O22" s="10" t="s">
        <v>218</v>
      </c>
    </row>
    <row r="23">
      <c r="A23" s="11">
        <v>18.0</v>
      </c>
      <c r="B23" s="12"/>
      <c r="C23" s="12"/>
      <c r="D23" s="6" t="s">
        <v>199</v>
      </c>
      <c r="E23" s="7" t="s">
        <v>219</v>
      </c>
      <c r="F23" s="6" t="s">
        <v>220</v>
      </c>
      <c r="G23" s="8" t="s">
        <v>221</v>
      </c>
      <c r="H23" s="6" t="s">
        <v>222</v>
      </c>
      <c r="I23" s="6" t="s">
        <v>223</v>
      </c>
      <c r="J23" s="6" t="s">
        <v>224</v>
      </c>
      <c r="K23" s="6" t="s">
        <v>225</v>
      </c>
      <c r="L23" s="13" t="s">
        <v>45</v>
      </c>
      <c r="M23" s="6" t="s">
        <v>226</v>
      </c>
      <c r="N23" s="6" t="s">
        <v>227</v>
      </c>
      <c r="O23" s="10" t="s">
        <v>228</v>
      </c>
    </row>
    <row r="24">
      <c r="A24" s="3">
        <v>19.0</v>
      </c>
      <c r="B24" s="12"/>
      <c r="C24" s="12"/>
      <c r="D24" s="6" t="s">
        <v>17</v>
      </c>
      <c r="E24" s="7" t="s">
        <v>229</v>
      </c>
      <c r="F24" s="6" t="s">
        <v>230</v>
      </c>
      <c r="G24" s="8" t="s">
        <v>231</v>
      </c>
      <c r="H24" s="6" t="s">
        <v>232</v>
      </c>
      <c r="I24" s="6" t="s">
        <v>233</v>
      </c>
      <c r="J24" s="6" t="s">
        <v>234</v>
      </c>
      <c r="K24" s="6" t="s">
        <v>235</v>
      </c>
      <c r="L24" s="13" t="s">
        <v>45</v>
      </c>
      <c r="M24" s="6" t="s">
        <v>236</v>
      </c>
      <c r="N24" s="6" t="s">
        <v>85</v>
      </c>
      <c r="O24" s="10" t="s">
        <v>237</v>
      </c>
    </row>
    <row r="25">
      <c r="A25" s="11">
        <v>20.0</v>
      </c>
      <c r="B25" s="12"/>
      <c r="C25" s="12"/>
      <c r="D25" s="6" t="s">
        <v>199</v>
      </c>
      <c r="E25" s="7" t="s">
        <v>238</v>
      </c>
      <c r="F25" s="6" t="s">
        <v>239</v>
      </c>
      <c r="G25" s="8" t="s">
        <v>240</v>
      </c>
      <c r="H25" s="6" t="s">
        <v>241</v>
      </c>
      <c r="I25" s="6" t="s">
        <v>242</v>
      </c>
      <c r="J25" s="6" t="s">
        <v>243</v>
      </c>
      <c r="K25" s="6" t="s">
        <v>244</v>
      </c>
      <c r="L25" s="13" t="s">
        <v>45</v>
      </c>
      <c r="M25" s="6" t="s">
        <v>245</v>
      </c>
      <c r="N25" s="6" t="s">
        <v>227</v>
      </c>
      <c r="O25" s="10" t="s">
        <v>246</v>
      </c>
    </row>
    <row r="26">
      <c r="A26" s="3">
        <v>21.0</v>
      </c>
      <c r="B26" s="12"/>
      <c r="C26" s="12"/>
      <c r="D26" s="6" t="s">
        <v>17</v>
      </c>
      <c r="E26" s="7" t="s">
        <v>247</v>
      </c>
      <c r="F26" s="6" t="s">
        <v>248</v>
      </c>
      <c r="G26" s="8" t="s">
        <v>249</v>
      </c>
      <c r="H26" s="6" t="s">
        <v>250</v>
      </c>
      <c r="I26" s="6" t="s">
        <v>251</v>
      </c>
      <c r="J26" s="6" t="s">
        <v>252</v>
      </c>
      <c r="K26" s="6" t="s">
        <v>253</v>
      </c>
      <c r="L26" s="13" t="s">
        <v>45</v>
      </c>
      <c r="M26" s="6" t="s">
        <v>226</v>
      </c>
      <c r="N26" s="6" t="s">
        <v>254</v>
      </c>
      <c r="O26" s="10" t="s">
        <v>151</v>
      </c>
    </row>
    <row r="27">
      <c r="A27" s="11">
        <v>22.0</v>
      </c>
      <c r="B27" s="12"/>
      <c r="C27" s="12"/>
      <c r="D27" s="6" t="s">
        <v>199</v>
      </c>
      <c r="E27" s="7" t="s">
        <v>255</v>
      </c>
      <c r="F27" s="6" t="s">
        <v>256</v>
      </c>
      <c r="G27" s="8" t="s">
        <v>257</v>
      </c>
      <c r="H27" s="6" t="s">
        <v>258</v>
      </c>
      <c r="I27" s="6" t="s">
        <v>259</v>
      </c>
      <c r="J27" s="6" t="s">
        <v>260</v>
      </c>
      <c r="K27" s="6" t="s">
        <v>261</v>
      </c>
      <c r="L27" s="9" t="s">
        <v>25</v>
      </c>
      <c r="M27" s="6" t="s">
        <v>245</v>
      </c>
      <c r="N27" s="6" t="s">
        <v>227</v>
      </c>
      <c r="O27" s="10" t="s">
        <v>218</v>
      </c>
    </row>
    <row r="28">
      <c r="A28" s="3">
        <v>23.0</v>
      </c>
      <c r="B28" s="12"/>
      <c r="C28" s="12"/>
      <c r="D28" s="6" t="s">
        <v>199</v>
      </c>
      <c r="E28" s="7" t="s">
        <v>262</v>
      </c>
      <c r="F28" s="6" t="s">
        <v>263</v>
      </c>
      <c r="G28" s="8" t="s">
        <v>264</v>
      </c>
      <c r="H28" s="6" t="s">
        <v>265</v>
      </c>
      <c r="I28" s="6" t="s">
        <v>266</v>
      </c>
      <c r="J28" s="6" t="s">
        <v>267</v>
      </c>
      <c r="K28" s="6" t="s">
        <v>268</v>
      </c>
      <c r="L28" s="13" t="s">
        <v>45</v>
      </c>
      <c r="M28" s="6" t="s">
        <v>245</v>
      </c>
      <c r="N28" s="6" t="s">
        <v>227</v>
      </c>
      <c r="O28" s="10" t="s">
        <v>246</v>
      </c>
    </row>
    <row r="29">
      <c r="A29" s="11">
        <v>24.0</v>
      </c>
      <c r="B29" s="12"/>
      <c r="C29" s="15"/>
      <c r="D29" s="6" t="s">
        <v>199</v>
      </c>
      <c r="E29" s="7" t="s">
        <v>269</v>
      </c>
      <c r="F29" s="6" t="s">
        <v>270</v>
      </c>
      <c r="G29" s="8" t="s">
        <v>271</v>
      </c>
      <c r="H29" s="6" t="s">
        <v>272</v>
      </c>
      <c r="I29" s="6" t="s">
        <v>273</v>
      </c>
      <c r="J29" s="6" t="s">
        <v>274</v>
      </c>
      <c r="K29" s="6" t="s">
        <v>275</v>
      </c>
      <c r="L29" s="13" t="s">
        <v>45</v>
      </c>
      <c r="M29" s="6" t="s">
        <v>276</v>
      </c>
      <c r="N29" s="6" t="s">
        <v>277</v>
      </c>
      <c r="O29" s="10" t="s">
        <v>151</v>
      </c>
    </row>
    <row r="30">
      <c r="A30" s="3">
        <v>25.0</v>
      </c>
      <c r="B30" s="12"/>
      <c r="C30" s="5" t="s">
        <v>278</v>
      </c>
      <c r="D30" s="6" t="s">
        <v>199</v>
      </c>
      <c r="E30" s="7" t="s">
        <v>279</v>
      </c>
      <c r="F30" s="6" t="s">
        <v>280</v>
      </c>
      <c r="G30" s="8" t="s">
        <v>281</v>
      </c>
      <c r="H30" s="6" t="s">
        <v>282</v>
      </c>
      <c r="I30" s="6" t="s">
        <v>283</v>
      </c>
      <c r="J30" s="6" t="s">
        <v>284</v>
      </c>
      <c r="K30" s="6" t="s">
        <v>285</v>
      </c>
      <c r="L30" s="9" t="s">
        <v>25</v>
      </c>
      <c r="M30" s="6" t="s">
        <v>286</v>
      </c>
      <c r="N30" s="6" t="s">
        <v>287</v>
      </c>
      <c r="O30" s="10" t="s">
        <v>288</v>
      </c>
    </row>
    <row r="31">
      <c r="A31" s="11">
        <v>26.0</v>
      </c>
      <c r="B31" s="12"/>
      <c r="C31" s="12"/>
      <c r="D31" s="6" t="s">
        <v>199</v>
      </c>
      <c r="E31" s="7" t="s">
        <v>289</v>
      </c>
      <c r="F31" s="6" t="s">
        <v>290</v>
      </c>
      <c r="G31" s="8" t="s">
        <v>291</v>
      </c>
      <c r="H31" s="6" t="s">
        <v>292</v>
      </c>
      <c r="I31" s="6" t="s">
        <v>293</v>
      </c>
      <c r="J31" s="6" t="s">
        <v>294</v>
      </c>
      <c r="K31" s="6" t="s">
        <v>295</v>
      </c>
      <c r="L31" s="9" t="s">
        <v>25</v>
      </c>
      <c r="M31" s="6" t="s">
        <v>296</v>
      </c>
      <c r="N31" s="6" t="s">
        <v>297</v>
      </c>
      <c r="O31" s="10" t="s">
        <v>151</v>
      </c>
    </row>
    <row r="32">
      <c r="A32" s="3">
        <v>27.0</v>
      </c>
      <c r="B32" s="12"/>
      <c r="C32" s="12"/>
      <c r="D32" s="6" t="s">
        <v>199</v>
      </c>
      <c r="E32" s="7" t="s">
        <v>298</v>
      </c>
      <c r="F32" s="6" t="s">
        <v>299</v>
      </c>
      <c r="G32" s="8" t="s">
        <v>300</v>
      </c>
      <c r="H32" s="6" t="s">
        <v>301</v>
      </c>
      <c r="I32" s="6" t="s">
        <v>302</v>
      </c>
      <c r="J32" s="6" t="s">
        <v>92</v>
      </c>
      <c r="K32" s="6" t="s">
        <v>303</v>
      </c>
      <c r="L32" s="14" t="s">
        <v>54</v>
      </c>
      <c r="M32" s="6" t="s">
        <v>304</v>
      </c>
      <c r="N32" s="6" t="s">
        <v>305</v>
      </c>
      <c r="O32" s="10" t="s">
        <v>306</v>
      </c>
    </row>
    <row r="33">
      <c r="A33" s="11">
        <v>28.0</v>
      </c>
      <c r="B33" s="12"/>
      <c r="C33" s="12"/>
      <c r="D33" s="6" t="s">
        <v>199</v>
      </c>
      <c r="E33" s="7" t="s">
        <v>307</v>
      </c>
      <c r="F33" s="6" t="s">
        <v>308</v>
      </c>
      <c r="G33" s="8" t="s">
        <v>309</v>
      </c>
      <c r="H33" s="6" t="s">
        <v>310</v>
      </c>
      <c r="I33" s="6" t="s">
        <v>311</v>
      </c>
      <c r="J33" s="6" t="s">
        <v>312</v>
      </c>
      <c r="K33" s="6" t="s">
        <v>313</v>
      </c>
      <c r="L33" s="13" t="s">
        <v>45</v>
      </c>
      <c r="M33" s="6" t="s">
        <v>314</v>
      </c>
      <c r="N33" s="6" t="s">
        <v>315</v>
      </c>
      <c r="O33" s="10" t="s">
        <v>228</v>
      </c>
    </row>
    <row r="34">
      <c r="A34" s="3">
        <v>29.0</v>
      </c>
      <c r="B34" s="12"/>
      <c r="C34" s="12"/>
      <c r="D34" s="6" t="s">
        <v>199</v>
      </c>
      <c r="E34" s="7" t="s">
        <v>316</v>
      </c>
      <c r="F34" s="6" t="s">
        <v>317</v>
      </c>
      <c r="G34" s="8" t="s">
        <v>318</v>
      </c>
      <c r="H34" s="6" t="s">
        <v>319</v>
      </c>
      <c r="I34" s="6" t="s">
        <v>320</v>
      </c>
      <c r="J34" s="6" t="s">
        <v>321</v>
      </c>
      <c r="K34" s="6" t="s">
        <v>322</v>
      </c>
      <c r="L34" s="9" t="s">
        <v>25</v>
      </c>
      <c r="M34" s="6" t="s">
        <v>323</v>
      </c>
      <c r="N34" s="6" t="s">
        <v>324</v>
      </c>
      <c r="O34" s="10" t="s">
        <v>325</v>
      </c>
    </row>
    <row r="35">
      <c r="A35" s="11">
        <v>30.0</v>
      </c>
      <c r="B35" s="12"/>
      <c r="C35" s="12"/>
      <c r="D35" s="6" t="s">
        <v>199</v>
      </c>
      <c r="E35" s="7" t="s">
        <v>326</v>
      </c>
      <c r="F35" s="6" t="s">
        <v>327</v>
      </c>
      <c r="G35" s="8" t="s">
        <v>328</v>
      </c>
      <c r="H35" s="6" t="s">
        <v>329</v>
      </c>
      <c r="I35" s="6" t="s">
        <v>330</v>
      </c>
      <c r="J35" s="6" t="s">
        <v>331</v>
      </c>
      <c r="K35" s="6" t="s">
        <v>332</v>
      </c>
      <c r="L35" s="14" t="s">
        <v>54</v>
      </c>
      <c r="M35" s="6" t="s">
        <v>304</v>
      </c>
      <c r="N35" s="6" t="s">
        <v>305</v>
      </c>
      <c r="O35" s="10" t="s">
        <v>151</v>
      </c>
    </row>
    <row r="36">
      <c r="A36" s="3">
        <v>31.0</v>
      </c>
      <c r="B36" s="12"/>
      <c r="C36" s="12"/>
      <c r="D36" s="6" t="s">
        <v>199</v>
      </c>
      <c r="E36" s="7" t="s">
        <v>333</v>
      </c>
      <c r="F36" s="6" t="s">
        <v>334</v>
      </c>
      <c r="G36" s="8" t="s">
        <v>335</v>
      </c>
      <c r="H36" s="6" t="s">
        <v>336</v>
      </c>
      <c r="I36" s="6" t="s">
        <v>337</v>
      </c>
      <c r="J36" s="6" t="s">
        <v>338</v>
      </c>
      <c r="K36" s="6" t="s">
        <v>339</v>
      </c>
      <c r="L36" s="9" t="s">
        <v>25</v>
      </c>
      <c r="M36" s="6" t="s">
        <v>55</v>
      </c>
      <c r="N36" s="6" t="s">
        <v>340</v>
      </c>
      <c r="O36" s="10" t="s">
        <v>341</v>
      </c>
    </row>
    <row r="37">
      <c r="A37" s="11">
        <v>32.0</v>
      </c>
      <c r="B37" s="12"/>
      <c r="C37" s="15"/>
      <c r="D37" s="6" t="s">
        <v>199</v>
      </c>
      <c r="E37" s="7" t="s">
        <v>342</v>
      </c>
      <c r="F37" s="6" t="s">
        <v>343</v>
      </c>
      <c r="G37" s="8" t="s">
        <v>344</v>
      </c>
      <c r="H37" s="6" t="s">
        <v>345</v>
      </c>
      <c r="I37" s="6" t="s">
        <v>346</v>
      </c>
      <c r="J37" s="6" t="s">
        <v>347</v>
      </c>
      <c r="K37" s="6" t="s">
        <v>348</v>
      </c>
      <c r="L37" s="9" t="s">
        <v>25</v>
      </c>
      <c r="M37" s="6" t="s">
        <v>245</v>
      </c>
      <c r="N37" s="6" t="s">
        <v>349</v>
      </c>
      <c r="O37" s="10" t="s">
        <v>228</v>
      </c>
    </row>
    <row r="38">
      <c r="A38" s="3">
        <v>33.0</v>
      </c>
      <c r="B38" s="12"/>
      <c r="C38" s="5" t="s">
        <v>350</v>
      </c>
      <c r="D38" s="6" t="s">
        <v>161</v>
      </c>
      <c r="E38" s="7" t="s">
        <v>351</v>
      </c>
      <c r="F38" s="6" t="s">
        <v>352</v>
      </c>
      <c r="G38" s="8" t="s">
        <v>353</v>
      </c>
      <c r="H38" s="6" t="s">
        <v>354</v>
      </c>
      <c r="I38" s="6" t="s">
        <v>355</v>
      </c>
      <c r="J38" s="6" t="s">
        <v>356</v>
      </c>
      <c r="K38" s="6" t="s">
        <v>357</v>
      </c>
      <c r="L38" s="13" t="s">
        <v>45</v>
      </c>
      <c r="M38" s="6" t="s">
        <v>358</v>
      </c>
      <c r="N38" s="6" t="s">
        <v>359</v>
      </c>
      <c r="O38" s="10" t="s">
        <v>360</v>
      </c>
    </row>
    <row r="39">
      <c r="A39" s="11">
        <v>34.0</v>
      </c>
      <c r="B39" s="12"/>
      <c r="C39" s="12"/>
      <c r="D39" s="6" t="s">
        <v>161</v>
      </c>
      <c r="E39" s="7" t="s">
        <v>361</v>
      </c>
      <c r="F39" s="6" t="s">
        <v>362</v>
      </c>
      <c r="G39" s="8" t="s">
        <v>363</v>
      </c>
      <c r="H39" s="6" t="s">
        <v>364</v>
      </c>
      <c r="I39" s="6" t="s">
        <v>365</v>
      </c>
      <c r="J39" s="6" t="s">
        <v>366</v>
      </c>
      <c r="K39" s="6" t="s">
        <v>367</v>
      </c>
      <c r="L39" s="13" t="s">
        <v>45</v>
      </c>
      <c r="M39" s="6" t="s">
        <v>368</v>
      </c>
      <c r="N39" s="6" t="s">
        <v>369</v>
      </c>
      <c r="O39" s="10" t="s">
        <v>370</v>
      </c>
    </row>
    <row r="40">
      <c r="A40" s="3">
        <v>35.0</v>
      </c>
      <c r="B40" s="12"/>
      <c r="C40" s="12"/>
      <c r="D40" s="6" t="s">
        <v>161</v>
      </c>
      <c r="E40" s="7" t="s">
        <v>371</v>
      </c>
      <c r="F40" s="6" t="s">
        <v>372</v>
      </c>
      <c r="G40" s="8" t="s">
        <v>373</v>
      </c>
      <c r="H40" s="6" t="s">
        <v>374</v>
      </c>
      <c r="I40" s="6" t="s">
        <v>375</v>
      </c>
      <c r="J40" s="6" t="s">
        <v>376</v>
      </c>
      <c r="K40" s="6" t="s">
        <v>377</v>
      </c>
      <c r="L40" s="13" t="s">
        <v>45</v>
      </c>
      <c r="M40" s="6" t="s">
        <v>378</v>
      </c>
      <c r="N40" s="6" t="s">
        <v>379</v>
      </c>
      <c r="O40" s="10" t="s">
        <v>380</v>
      </c>
    </row>
    <row r="41">
      <c r="A41" s="11">
        <v>36.0</v>
      </c>
      <c r="B41" s="12"/>
      <c r="C41" s="12"/>
      <c r="D41" s="6" t="s">
        <v>161</v>
      </c>
      <c r="E41" s="7" t="s">
        <v>381</v>
      </c>
      <c r="F41" s="6" t="s">
        <v>382</v>
      </c>
      <c r="G41" s="8" t="s">
        <v>383</v>
      </c>
      <c r="H41" s="6" t="s">
        <v>384</v>
      </c>
      <c r="I41" s="6" t="s">
        <v>385</v>
      </c>
      <c r="J41" s="6" t="s">
        <v>386</v>
      </c>
      <c r="K41" s="6" t="s">
        <v>387</v>
      </c>
      <c r="L41" s="13" t="s">
        <v>45</v>
      </c>
      <c r="M41" s="6" t="s">
        <v>388</v>
      </c>
      <c r="N41" s="6" t="s">
        <v>389</v>
      </c>
      <c r="O41" s="10" t="s">
        <v>390</v>
      </c>
    </row>
    <row r="42">
      <c r="A42" s="3">
        <v>37.0</v>
      </c>
      <c r="B42" s="12"/>
      <c r="C42" s="12"/>
      <c r="D42" s="6" t="s">
        <v>161</v>
      </c>
      <c r="E42" s="7" t="s">
        <v>391</v>
      </c>
      <c r="F42" s="6" t="s">
        <v>392</v>
      </c>
      <c r="G42" s="8" t="s">
        <v>393</v>
      </c>
      <c r="H42" s="6" t="s">
        <v>394</v>
      </c>
      <c r="I42" s="6" t="s">
        <v>395</v>
      </c>
      <c r="J42" s="6" t="s">
        <v>396</v>
      </c>
      <c r="K42" s="6" t="s">
        <v>397</v>
      </c>
      <c r="L42" s="9" t="s">
        <v>25</v>
      </c>
      <c r="M42" s="6" t="s">
        <v>398</v>
      </c>
      <c r="N42" s="6" t="s">
        <v>399</v>
      </c>
      <c r="O42" s="10" t="s">
        <v>151</v>
      </c>
    </row>
    <row r="43">
      <c r="A43" s="11">
        <v>38.0</v>
      </c>
      <c r="B43" s="12"/>
      <c r="C43" s="12"/>
      <c r="D43" s="6" t="s">
        <v>161</v>
      </c>
      <c r="E43" s="7" t="s">
        <v>400</v>
      </c>
      <c r="F43" s="6" t="s">
        <v>401</v>
      </c>
      <c r="G43" s="8" t="s">
        <v>402</v>
      </c>
      <c r="H43" s="6" t="s">
        <v>403</v>
      </c>
      <c r="I43" s="6" t="s">
        <v>404</v>
      </c>
      <c r="J43" s="6" t="s">
        <v>405</v>
      </c>
      <c r="K43" s="6" t="s">
        <v>406</v>
      </c>
      <c r="L43" s="13" t="s">
        <v>45</v>
      </c>
      <c r="M43" s="6" t="s">
        <v>407</v>
      </c>
      <c r="N43" s="6" t="s">
        <v>408</v>
      </c>
      <c r="O43" s="10" t="s">
        <v>370</v>
      </c>
    </row>
    <row r="44">
      <c r="A44" s="3">
        <v>39.0</v>
      </c>
      <c r="B44" s="12"/>
      <c r="C44" s="12"/>
      <c r="D44" s="6" t="s">
        <v>161</v>
      </c>
      <c r="E44" s="7" t="s">
        <v>409</v>
      </c>
      <c r="F44" s="6" t="s">
        <v>410</v>
      </c>
      <c r="G44" s="8" t="s">
        <v>411</v>
      </c>
      <c r="H44" s="6" t="s">
        <v>412</v>
      </c>
      <c r="I44" s="6" t="s">
        <v>413</v>
      </c>
      <c r="J44" s="6" t="s">
        <v>414</v>
      </c>
      <c r="K44" s="6" t="s">
        <v>415</v>
      </c>
      <c r="L44" s="9" t="s">
        <v>25</v>
      </c>
      <c r="M44" s="6" t="s">
        <v>407</v>
      </c>
      <c r="N44" s="6" t="s">
        <v>416</v>
      </c>
      <c r="O44" s="10" t="s">
        <v>417</v>
      </c>
    </row>
    <row r="45">
      <c r="A45" s="11">
        <v>40.0</v>
      </c>
      <c r="B45" s="12"/>
      <c r="C45" s="12"/>
      <c r="D45" s="6" t="s">
        <v>161</v>
      </c>
      <c r="E45" s="7" t="s">
        <v>418</v>
      </c>
      <c r="F45" s="6" t="s">
        <v>419</v>
      </c>
      <c r="G45" s="8" t="s">
        <v>420</v>
      </c>
      <c r="H45" s="6" t="s">
        <v>421</v>
      </c>
      <c r="I45" s="6" t="s">
        <v>422</v>
      </c>
      <c r="J45" s="6" t="s">
        <v>423</v>
      </c>
      <c r="K45" s="6" t="s">
        <v>424</v>
      </c>
      <c r="L45" s="13" t="s">
        <v>45</v>
      </c>
      <c r="M45" s="6" t="s">
        <v>407</v>
      </c>
      <c r="N45" s="6" t="s">
        <v>408</v>
      </c>
      <c r="O45" s="10" t="s">
        <v>370</v>
      </c>
    </row>
    <row r="46">
      <c r="A46" s="3">
        <v>41.0</v>
      </c>
      <c r="B46" s="12"/>
      <c r="C46" s="12"/>
      <c r="D46" s="6" t="s">
        <v>161</v>
      </c>
      <c r="E46" s="7" t="s">
        <v>425</v>
      </c>
      <c r="F46" s="6" t="s">
        <v>426</v>
      </c>
      <c r="G46" s="8" t="s">
        <v>427</v>
      </c>
      <c r="H46" s="6" t="s">
        <v>428</v>
      </c>
      <c r="I46" s="6" t="s">
        <v>429</v>
      </c>
      <c r="J46" s="6" t="s">
        <v>430</v>
      </c>
      <c r="K46" s="6" t="s">
        <v>431</v>
      </c>
      <c r="L46" s="13" t="s">
        <v>45</v>
      </c>
      <c r="M46" s="6" t="s">
        <v>432</v>
      </c>
      <c r="N46" s="6" t="s">
        <v>433</v>
      </c>
      <c r="O46" s="10" t="s">
        <v>434</v>
      </c>
    </row>
    <row r="47">
      <c r="A47" s="11">
        <v>42.0</v>
      </c>
      <c r="B47" s="12"/>
      <c r="C47" s="12"/>
      <c r="D47" s="6" t="s">
        <v>161</v>
      </c>
      <c r="E47" s="7" t="s">
        <v>435</v>
      </c>
      <c r="F47" s="6" t="s">
        <v>436</v>
      </c>
      <c r="G47" s="8" t="s">
        <v>437</v>
      </c>
      <c r="H47" s="6" t="s">
        <v>438</v>
      </c>
      <c r="I47" s="6" t="s">
        <v>439</v>
      </c>
      <c r="J47" s="6" t="s">
        <v>440</v>
      </c>
      <c r="K47" s="6" t="s">
        <v>441</v>
      </c>
      <c r="L47" s="13" t="s">
        <v>45</v>
      </c>
      <c r="M47" s="6" t="s">
        <v>407</v>
      </c>
      <c r="N47" s="6" t="s">
        <v>379</v>
      </c>
      <c r="O47" s="10" t="s">
        <v>434</v>
      </c>
    </row>
    <row r="48">
      <c r="A48" s="3">
        <v>43.0</v>
      </c>
      <c r="B48" s="12"/>
      <c r="C48" s="12"/>
      <c r="D48" s="6" t="s">
        <v>161</v>
      </c>
      <c r="E48" s="7" t="s">
        <v>442</v>
      </c>
      <c r="F48" s="6" t="s">
        <v>443</v>
      </c>
      <c r="G48" s="8" t="s">
        <v>444</v>
      </c>
      <c r="H48" s="6" t="s">
        <v>445</v>
      </c>
      <c r="I48" s="6" t="s">
        <v>446</v>
      </c>
      <c r="J48" s="6" t="s">
        <v>447</v>
      </c>
      <c r="K48" s="6" t="s">
        <v>448</v>
      </c>
      <c r="L48" s="13" t="s">
        <v>45</v>
      </c>
      <c r="M48" s="6" t="s">
        <v>432</v>
      </c>
      <c r="N48" s="6" t="s">
        <v>449</v>
      </c>
      <c r="O48" s="10" t="s">
        <v>434</v>
      </c>
    </row>
    <row r="49">
      <c r="A49" s="11">
        <v>44.0</v>
      </c>
      <c r="B49" s="12"/>
      <c r="C49" s="12"/>
      <c r="D49" s="6" t="s">
        <v>161</v>
      </c>
      <c r="E49" s="7" t="s">
        <v>450</v>
      </c>
      <c r="F49" s="6" t="s">
        <v>451</v>
      </c>
      <c r="G49" s="8" t="s">
        <v>452</v>
      </c>
      <c r="H49" s="6" t="s">
        <v>453</v>
      </c>
      <c r="I49" s="6" t="s">
        <v>454</v>
      </c>
      <c r="J49" s="6" t="s">
        <v>455</v>
      </c>
      <c r="K49" s="6" t="s">
        <v>456</v>
      </c>
      <c r="L49" s="13" t="s">
        <v>45</v>
      </c>
      <c r="M49" s="6" t="s">
        <v>457</v>
      </c>
      <c r="N49" s="6" t="s">
        <v>458</v>
      </c>
      <c r="O49" s="10" t="s">
        <v>151</v>
      </c>
    </row>
    <row r="50">
      <c r="A50" s="3">
        <v>45.0</v>
      </c>
      <c r="B50" s="12"/>
      <c r="C50" s="12"/>
      <c r="D50" s="6" t="s">
        <v>161</v>
      </c>
      <c r="E50" s="7" t="s">
        <v>459</v>
      </c>
      <c r="F50" s="6" t="s">
        <v>460</v>
      </c>
      <c r="G50" s="8" t="s">
        <v>461</v>
      </c>
      <c r="H50" s="6" t="s">
        <v>462</v>
      </c>
      <c r="I50" s="6" t="s">
        <v>463</v>
      </c>
      <c r="J50" s="6" t="s">
        <v>464</v>
      </c>
      <c r="K50" s="6" t="s">
        <v>465</v>
      </c>
      <c r="L50" s="13" t="s">
        <v>45</v>
      </c>
      <c r="M50" s="6" t="s">
        <v>368</v>
      </c>
      <c r="N50" s="6" t="s">
        <v>466</v>
      </c>
      <c r="O50" s="10" t="s">
        <v>467</v>
      </c>
    </row>
    <row r="51">
      <c r="A51" s="11">
        <v>46.0</v>
      </c>
      <c r="B51" s="12"/>
      <c r="C51" s="12"/>
      <c r="D51" s="6" t="s">
        <v>161</v>
      </c>
      <c r="E51" s="7" t="s">
        <v>468</v>
      </c>
      <c r="F51" s="6" t="s">
        <v>469</v>
      </c>
      <c r="G51" s="8" t="s">
        <v>470</v>
      </c>
      <c r="H51" s="6" t="s">
        <v>471</v>
      </c>
      <c r="I51" s="6" t="s">
        <v>472</v>
      </c>
      <c r="J51" s="6" t="s">
        <v>473</v>
      </c>
      <c r="K51" s="6" t="s">
        <v>474</v>
      </c>
      <c r="L51" s="13" t="s">
        <v>45</v>
      </c>
      <c r="M51" s="6" t="s">
        <v>276</v>
      </c>
      <c r="N51" s="6" t="s">
        <v>475</v>
      </c>
      <c r="O51" s="10" t="s">
        <v>151</v>
      </c>
    </row>
    <row r="52">
      <c r="A52" s="3">
        <v>47.0</v>
      </c>
      <c r="B52" s="12"/>
      <c r="C52" s="12"/>
      <c r="D52" s="6" t="s">
        <v>161</v>
      </c>
      <c r="E52" s="7" t="s">
        <v>476</v>
      </c>
      <c r="F52" s="6" t="s">
        <v>477</v>
      </c>
      <c r="G52" s="8" t="s">
        <v>478</v>
      </c>
      <c r="H52" s="6" t="s">
        <v>479</v>
      </c>
      <c r="I52" s="6" t="s">
        <v>480</v>
      </c>
      <c r="J52" s="6" t="s">
        <v>481</v>
      </c>
      <c r="K52" s="6" t="s">
        <v>482</v>
      </c>
      <c r="L52" s="9" t="s">
        <v>25</v>
      </c>
      <c r="M52" s="6" t="s">
        <v>483</v>
      </c>
      <c r="N52" s="6" t="s">
        <v>484</v>
      </c>
      <c r="O52" s="10" t="s">
        <v>370</v>
      </c>
    </row>
    <row r="53">
      <c r="A53" s="11">
        <v>48.0</v>
      </c>
      <c r="B53" s="12"/>
      <c r="C53" s="12"/>
      <c r="D53" s="6" t="s">
        <v>161</v>
      </c>
      <c r="E53" s="7" t="s">
        <v>485</v>
      </c>
      <c r="F53" s="6" t="s">
        <v>486</v>
      </c>
      <c r="G53" s="8" t="s">
        <v>487</v>
      </c>
      <c r="H53" s="6" t="s">
        <v>488</v>
      </c>
      <c r="I53" s="6" t="s">
        <v>489</v>
      </c>
      <c r="J53" s="6" t="s">
        <v>490</v>
      </c>
      <c r="K53" s="6" t="s">
        <v>491</v>
      </c>
      <c r="L53" s="13" t="s">
        <v>45</v>
      </c>
      <c r="M53" s="6" t="s">
        <v>432</v>
      </c>
      <c r="N53" s="6" t="s">
        <v>492</v>
      </c>
      <c r="O53" s="10" t="s">
        <v>370</v>
      </c>
    </row>
    <row r="54">
      <c r="A54" s="3">
        <v>49.0</v>
      </c>
      <c r="B54" s="12"/>
      <c r="C54" s="12"/>
      <c r="D54" s="6" t="s">
        <v>161</v>
      </c>
      <c r="E54" s="7" t="s">
        <v>493</v>
      </c>
      <c r="F54" s="6" t="s">
        <v>494</v>
      </c>
      <c r="G54" s="8" t="s">
        <v>495</v>
      </c>
      <c r="H54" s="6" t="s">
        <v>496</v>
      </c>
      <c r="I54" s="6" t="s">
        <v>497</v>
      </c>
      <c r="J54" s="6" t="s">
        <v>498</v>
      </c>
      <c r="K54" s="6" t="s">
        <v>499</v>
      </c>
      <c r="L54" s="13" t="s">
        <v>45</v>
      </c>
      <c r="M54" s="6" t="s">
        <v>432</v>
      </c>
      <c r="N54" s="6" t="s">
        <v>492</v>
      </c>
      <c r="O54" s="10" t="s">
        <v>434</v>
      </c>
    </row>
    <row r="55">
      <c r="A55" s="11">
        <v>50.0</v>
      </c>
      <c r="B55" s="12"/>
      <c r="C55" s="12"/>
      <c r="D55" s="6" t="s">
        <v>161</v>
      </c>
      <c r="E55" s="7" t="s">
        <v>500</v>
      </c>
      <c r="F55" s="6" t="s">
        <v>501</v>
      </c>
      <c r="G55" s="8" t="s">
        <v>502</v>
      </c>
      <c r="H55" s="6" t="s">
        <v>503</v>
      </c>
      <c r="I55" s="6" t="s">
        <v>504</v>
      </c>
      <c r="J55" s="6" t="s">
        <v>505</v>
      </c>
      <c r="K55" s="6" t="s">
        <v>506</v>
      </c>
      <c r="L55" s="13" t="s">
        <v>45</v>
      </c>
      <c r="M55" s="6" t="s">
        <v>368</v>
      </c>
      <c r="N55" s="6" t="s">
        <v>507</v>
      </c>
      <c r="O55" s="10" t="s">
        <v>370</v>
      </c>
    </row>
    <row r="56">
      <c r="A56" s="3">
        <v>51.0</v>
      </c>
      <c r="B56" s="12"/>
      <c r="C56" s="12"/>
      <c r="D56" s="6" t="s">
        <v>161</v>
      </c>
      <c r="E56" s="7" t="s">
        <v>508</v>
      </c>
      <c r="F56" s="6" t="s">
        <v>509</v>
      </c>
      <c r="G56" s="8" t="s">
        <v>510</v>
      </c>
      <c r="H56" s="6" t="s">
        <v>511</v>
      </c>
      <c r="I56" s="6" t="s">
        <v>512</v>
      </c>
      <c r="J56" s="6" t="s">
        <v>513</v>
      </c>
      <c r="K56" s="6" t="s">
        <v>514</v>
      </c>
      <c r="L56" s="13" t="s">
        <v>45</v>
      </c>
      <c r="M56" s="6" t="s">
        <v>432</v>
      </c>
      <c r="N56" s="6" t="s">
        <v>379</v>
      </c>
      <c r="O56" s="10" t="s">
        <v>370</v>
      </c>
    </row>
    <row r="57">
      <c r="A57" s="11">
        <v>52.0</v>
      </c>
      <c r="B57" s="12"/>
      <c r="C57" s="15"/>
      <c r="D57" s="6" t="s">
        <v>161</v>
      </c>
      <c r="E57" s="7" t="s">
        <v>515</v>
      </c>
      <c r="F57" s="6" t="s">
        <v>516</v>
      </c>
      <c r="G57" s="8" t="s">
        <v>517</v>
      </c>
      <c r="H57" s="6" t="s">
        <v>518</v>
      </c>
      <c r="I57" s="6" t="s">
        <v>519</v>
      </c>
      <c r="J57" s="6" t="s">
        <v>520</v>
      </c>
      <c r="K57" s="6" t="s">
        <v>521</v>
      </c>
      <c r="L57" s="13" t="s">
        <v>45</v>
      </c>
      <c r="M57" s="6" t="s">
        <v>522</v>
      </c>
      <c r="N57" s="6" t="s">
        <v>523</v>
      </c>
      <c r="O57" s="10" t="s">
        <v>524</v>
      </c>
    </row>
    <row r="58">
      <c r="A58" s="3">
        <v>53.0</v>
      </c>
      <c r="B58" s="12"/>
      <c r="C58" s="5" t="s">
        <v>525</v>
      </c>
      <c r="D58" s="6" t="s">
        <v>161</v>
      </c>
      <c r="E58" s="7" t="s">
        <v>526</v>
      </c>
      <c r="F58" s="6" t="s">
        <v>527</v>
      </c>
      <c r="G58" s="8" t="s">
        <v>528</v>
      </c>
      <c r="H58" s="6" t="s">
        <v>529</v>
      </c>
      <c r="I58" s="6" t="s">
        <v>530</v>
      </c>
      <c r="J58" s="6" t="s">
        <v>531</v>
      </c>
      <c r="K58" s="6" t="s">
        <v>532</v>
      </c>
      <c r="L58" s="13" t="s">
        <v>45</v>
      </c>
      <c r="M58" s="6" t="s">
        <v>533</v>
      </c>
      <c r="N58" s="6" t="s">
        <v>534</v>
      </c>
      <c r="O58" s="10" t="s">
        <v>380</v>
      </c>
    </row>
    <row r="59">
      <c r="A59" s="11">
        <v>54.0</v>
      </c>
      <c r="B59" s="15"/>
      <c r="C59" s="15"/>
      <c r="D59" s="6" t="s">
        <v>161</v>
      </c>
      <c r="E59" s="7" t="s">
        <v>535</v>
      </c>
      <c r="F59" s="6" t="s">
        <v>536</v>
      </c>
      <c r="G59" s="8" t="s">
        <v>537</v>
      </c>
      <c r="H59" s="6" t="s">
        <v>538</v>
      </c>
      <c r="I59" s="6" t="s">
        <v>539</v>
      </c>
      <c r="J59" s="6" t="s">
        <v>540</v>
      </c>
      <c r="K59" s="6" t="s">
        <v>541</v>
      </c>
      <c r="L59" s="13" t="s">
        <v>45</v>
      </c>
      <c r="M59" s="6" t="s">
        <v>542</v>
      </c>
      <c r="N59" s="6" t="s">
        <v>543</v>
      </c>
      <c r="O59" s="10" t="s">
        <v>218</v>
      </c>
    </row>
    <row r="60">
      <c r="A60" s="3">
        <v>55.0</v>
      </c>
      <c r="B60" s="18" t="s">
        <v>544</v>
      </c>
      <c r="C60" s="5" t="s">
        <v>545</v>
      </c>
      <c r="D60" s="6" t="s">
        <v>546</v>
      </c>
      <c r="E60" s="7" t="s">
        <v>547</v>
      </c>
      <c r="F60" s="6" t="s">
        <v>548</v>
      </c>
      <c r="G60" s="8" t="s">
        <v>549</v>
      </c>
      <c r="H60" s="6" t="s">
        <v>550</v>
      </c>
      <c r="I60" s="6" t="s">
        <v>551</v>
      </c>
      <c r="J60" s="6" t="s">
        <v>552</v>
      </c>
      <c r="K60" s="6" t="s">
        <v>553</v>
      </c>
      <c r="L60" s="9" t="s">
        <v>25</v>
      </c>
      <c r="M60" s="6" t="s">
        <v>554</v>
      </c>
      <c r="N60" s="6" t="s">
        <v>555</v>
      </c>
      <c r="O60" s="10" t="s">
        <v>556</v>
      </c>
    </row>
    <row r="61">
      <c r="A61" s="11">
        <v>56.0</v>
      </c>
      <c r="B61" s="12"/>
      <c r="C61" s="12"/>
      <c r="D61" s="6" t="s">
        <v>546</v>
      </c>
      <c r="E61" s="7" t="s">
        <v>557</v>
      </c>
      <c r="F61" s="6" t="s">
        <v>558</v>
      </c>
      <c r="G61" s="8" t="s">
        <v>559</v>
      </c>
      <c r="H61" s="6" t="s">
        <v>560</v>
      </c>
      <c r="I61" s="6" t="s">
        <v>561</v>
      </c>
      <c r="J61" s="6" t="s">
        <v>562</v>
      </c>
      <c r="K61" s="6" t="s">
        <v>563</v>
      </c>
      <c r="L61" s="9" t="s">
        <v>25</v>
      </c>
      <c r="M61" s="6" t="s">
        <v>554</v>
      </c>
      <c r="N61" s="6" t="s">
        <v>564</v>
      </c>
      <c r="O61" s="10" t="s">
        <v>556</v>
      </c>
    </row>
    <row r="62">
      <c r="A62" s="3">
        <v>57.0</v>
      </c>
      <c r="B62" s="12"/>
      <c r="C62" s="12"/>
      <c r="D62" s="6" t="s">
        <v>546</v>
      </c>
      <c r="E62" s="7" t="s">
        <v>565</v>
      </c>
      <c r="F62" s="6" t="s">
        <v>566</v>
      </c>
      <c r="G62" s="8" t="s">
        <v>567</v>
      </c>
      <c r="H62" s="6" t="s">
        <v>568</v>
      </c>
      <c r="I62" s="6" t="s">
        <v>569</v>
      </c>
      <c r="J62" s="6" t="s">
        <v>570</v>
      </c>
      <c r="K62" s="6" t="s">
        <v>571</v>
      </c>
      <c r="L62" s="9" t="s">
        <v>25</v>
      </c>
      <c r="M62" s="6" t="s">
        <v>554</v>
      </c>
      <c r="N62" s="6" t="s">
        <v>572</v>
      </c>
      <c r="O62" s="10" t="s">
        <v>573</v>
      </c>
    </row>
    <row r="63">
      <c r="A63" s="11">
        <v>58.0</v>
      </c>
      <c r="B63" s="12"/>
      <c r="C63" s="12"/>
      <c r="D63" s="6" t="s">
        <v>546</v>
      </c>
      <c r="E63" s="7" t="s">
        <v>574</v>
      </c>
      <c r="F63" s="6" t="s">
        <v>575</v>
      </c>
      <c r="G63" s="8" t="s">
        <v>576</v>
      </c>
      <c r="H63" s="6" t="s">
        <v>577</v>
      </c>
      <c r="I63" s="6" t="s">
        <v>578</v>
      </c>
      <c r="J63" s="6" t="s">
        <v>579</v>
      </c>
      <c r="K63" s="6" t="s">
        <v>580</v>
      </c>
      <c r="L63" s="9" t="s">
        <v>25</v>
      </c>
      <c r="M63" s="6" t="s">
        <v>581</v>
      </c>
      <c r="N63" s="6" t="s">
        <v>582</v>
      </c>
      <c r="O63" s="10" t="s">
        <v>583</v>
      </c>
    </row>
    <row r="64">
      <c r="A64" s="3">
        <v>59.0</v>
      </c>
      <c r="B64" s="12"/>
      <c r="C64" s="12"/>
      <c r="D64" s="6" t="s">
        <v>546</v>
      </c>
      <c r="E64" s="7" t="s">
        <v>584</v>
      </c>
      <c r="F64" s="6" t="s">
        <v>585</v>
      </c>
      <c r="G64" s="8" t="s">
        <v>586</v>
      </c>
      <c r="H64" s="6" t="s">
        <v>587</v>
      </c>
      <c r="I64" s="6" t="s">
        <v>588</v>
      </c>
      <c r="J64" s="6" t="s">
        <v>92</v>
      </c>
      <c r="K64" s="6" t="s">
        <v>589</v>
      </c>
      <c r="L64" s="14" t="s">
        <v>54</v>
      </c>
      <c r="M64" s="6" t="s">
        <v>55</v>
      </c>
      <c r="N64" s="6" t="s">
        <v>590</v>
      </c>
      <c r="O64" s="10" t="s">
        <v>591</v>
      </c>
    </row>
    <row r="65">
      <c r="A65" s="11">
        <v>60.0</v>
      </c>
      <c r="B65" s="12"/>
      <c r="C65" s="12"/>
      <c r="D65" s="6" t="s">
        <v>546</v>
      </c>
      <c r="E65" s="7" t="s">
        <v>592</v>
      </c>
      <c r="F65" s="6" t="s">
        <v>593</v>
      </c>
      <c r="G65" s="8" t="s">
        <v>594</v>
      </c>
      <c r="H65" s="6" t="s">
        <v>595</v>
      </c>
      <c r="I65" s="6" t="s">
        <v>596</v>
      </c>
      <c r="J65" s="6" t="s">
        <v>597</v>
      </c>
      <c r="K65" s="6" t="s">
        <v>598</v>
      </c>
      <c r="L65" s="13" t="s">
        <v>45</v>
      </c>
      <c r="M65" s="6" t="s">
        <v>599</v>
      </c>
      <c r="N65" s="6" t="s">
        <v>600</v>
      </c>
      <c r="O65" s="10" t="s">
        <v>601</v>
      </c>
    </row>
    <row r="66">
      <c r="A66" s="3">
        <v>61.0</v>
      </c>
      <c r="B66" s="12"/>
      <c r="C66" s="12"/>
      <c r="D66" s="6" t="s">
        <v>546</v>
      </c>
      <c r="E66" s="7" t="s">
        <v>602</v>
      </c>
      <c r="F66" s="6" t="s">
        <v>603</v>
      </c>
      <c r="G66" s="8" t="s">
        <v>604</v>
      </c>
      <c r="H66" s="6" t="s">
        <v>605</v>
      </c>
      <c r="I66" s="6" t="s">
        <v>606</v>
      </c>
      <c r="J66" s="6" t="s">
        <v>607</v>
      </c>
      <c r="K66" s="6" t="s">
        <v>608</v>
      </c>
      <c r="L66" s="9" t="s">
        <v>25</v>
      </c>
      <c r="M66" s="6" t="s">
        <v>609</v>
      </c>
      <c r="N66" s="6" t="s">
        <v>610</v>
      </c>
      <c r="O66" s="10" t="s">
        <v>556</v>
      </c>
    </row>
    <row r="67">
      <c r="A67" s="11">
        <v>62.0</v>
      </c>
      <c r="B67" s="12"/>
      <c r="C67" s="12"/>
      <c r="D67" s="6" t="s">
        <v>546</v>
      </c>
      <c r="E67" s="7" t="s">
        <v>611</v>
      </c>
      <c r="F67" s="6" t="s">
        <v>612</v>
      </c>
      <c r="G67" s="8" t="s">
        <v>613</v>
      </c>
      <c r="H67" s="6" t="s">
        <v>614</v>
      </c>
      <c r="I67" s="6" t="s">
        <v>615</v>
      </c>
      <c r="J67" s="6" t="s">
        <v>616</v>
      </c>
      <c r="K67" s="6" t="s">
        <v>617</v>
      </c>
      <c r="L67" s="13" t="s">
        <v>45</v>
      </c>
      <c r="M67" s="6" t="s">
        <v>618</v>
      </c>
      <c r="N67" s="6" t="s">
        <v>170</v>
      </c>
      <c r="O67" s="10" t="s">
        <v>583</v>
      </c>
    </row>
    <row r="68">
      <c r="A68" s="3">
        <v>63.0</v>
      </c>
      <c r="B68" s="12"/>
      <c r="C68" s="12"/>
      <c r="D68" s="6" t="s">
        <v>546</v>
      </c>
      <c r="E68" s="7" t="s">
        <v>619</v>
      </c>
      <c r="F68" s="6" t="s">
        <v>620</v>
      </c>
      <c r="G68" s="8" t="s">
        <v>621</v>
      </c>
      <c r="H68" s="6" t="s">
        <v>622</v>
      </c>
      <c r="I68" s="6" t="s">
        <v>623</v>
      </c>
      <c r="J68" s="6" t="s">
        <v>624</v>
      </c>
      <c r="K68" s="6" t="s">
        <v>625</v>
      </c>
      <c r="L68" s="13" t="s">
        <v>45</v>
      </c>
      <c r="M68" s="6" t="s">
        <v>626</v>
      </c>
      <c r="N68" s="6" t="s">
        <v>627</v>
      </c>
      <c r="O68" s="10" t="s">
        <v>628</v>
      </c>
    </row>
    <row r="69">
      <c r="A69" s="11">
        <v>64.0</v>
      </c>
      <c r="B69" s="12"/>
      <c r="C69" s="12"/>
      <c r="D69" s="6" t="s">
        <v>546</v>
      </c>
      <c r="E69" s="7" t="s">
        <v>629</v>
      </c>
      <c r="F69" s="6" t="s">
        <v>630</v>
      </c>
      <c r="G69" s="8" t="s">
        <v>631</v>
      </c>
      <c r="H69" s="6" t="s">
        <v>632</v>
      </c>
      <c r="I69" s="6" t="s">
        <v>633</v>
      </c>
      <c r="J69" s="6" t="s">
        <v>634</v>
      </c>
      <c r="K69" s="6" t="s">
        <v>635</v>
      </c>
      <c r="L69" s="9" t="s">
        <v>25</v>
      </c>
      <c r="M69" s="6" t="s">
        <v>636</v>
      </c>
      <c r="N69" s="6" t="s">
        <v>637</v>
      </c>
      <c r="O69" s="10" t="s">
        <v>556</v>
      </c>
    </row>
    <row r="70">
      <c r="A70" s="3">
        <v>65.0</v>
      </c>
      <c r="B70" s="12"/>
      <c r="C70" s="15"/>
      <c r="D70" s="6" t="s">
        <v>546</v>
      </c>
      <c r="E70" s="7" t="s">
        <v>638</v>
      </c>
      <c r="F70" s="6" t="s">
        <v>639</v>
      </c>
      <c r="G70" s="8" t="s">
        <v>640</v>
      </c>
      <c r="H70" s="6" t="s">
        <v>641</v>
      </c>
      <c r="I70" s="6" t="s">
        <v>642</v>
      </c>
      <c r="J70" s="6" t="s">
        <v>643</v>
      </c>
      <c r="K70" s="6" t="s">
        <v>644</v>
      </c>
      <c r="L70" s="13" t="s">
        <v>45</v>
      </c>
      <c r="M70" s="6" t="s">
        <v>645</v>
      </c>
      <c r="N70" s="6" t="s">
        <v>646</v>
      </c>
      <c r="O70" s="10" t="s">
        <v>647</v>
      </c>
    </row>
    <row r="71">
      <c r="A71" s="11">
        <v>66.0</v>
      </c>
      <c r="B71" s="12"/>
      <c r="C71" s="16" t="s">
        <v>648</v>
      </c>
      <c r="D71" s="6" t="s">
        <v>546</v>
      </c>
      <c r="E71" s="7" t="s">
        <v>649</v>
      </c>
      <c r="F71" s="6" t="s">
        <v>650</v>
      </c>
      <c r="G71" s="8" t="s">
        <v>651</v>
      </c>
      <c r="H71" s="6" t="s">
        <v>652</v>
      </c>
      <c r="I71" s="6" t="s">
        <v>653</v>
      </c>
      <c r="J71" s="6" t="s">
        <v>654</v>
      </c>
      <c r="K71" s="6" t="s">
        <v>655</v>
      </c>
      <c r="L71" s="13" t="s">
        <v>45</v>
      </c>
      <c r="M71" s="6" t="s">
        <v>656</v>
      </c>
      <c r="N71" s="6" t="s">
        <v>657</v>
      </c>
      <c r="O71" s="10" t="s">
        <v>658</v>
      </c>
    </row>
    <row r="72">
      <c r="A72" s="3">
        <v>67.0</v>
      </c>
      <c r="B72" s="12"/>
      <c r="C72" s="12"/>
      <c r="D72" s="6" t="s">
        <v>546</v>
      </c>
      <c r="E72" s="7" t="s">
        <v>659</v>
      </c>
      <c r="F72" s="6" t="s">
        <v>660</v>
      </c>
      <c r="G72" s="8" t="s">
        <v>661</v>
      </c>
      <c r="H72" s="6" t="s">
        <v>662</v>
      </c>
      <c r="I72" s="6" t="s">
        <v>663</v>
      </c>
      <c r="J72" s="6" t="s">
        <v>664</v>
      </c>
      <c r="K72" s="6" t="s">
        <v>665</v>
      </c>
      <c r="L72" s="13" t="s">
        <v>45</v>
      </c>
      <c r="M72" s="6" t="s">
        <v>599</v>
      </c>
      <c r="N72" s="6" t="s">
        <v>666</v>
      </c>
      <c r="O72" s="10" t="s">
        <v>667</v>
      </c>
    </row>
    <row r="73">
      <c r="A73" s="11">
        <v>68.0</v>
      </c>
      <c r="B73" s="12"/>
      <c r="C73" s="12"/>
      <c r="D73" s="6" t="s">
        <v>546</v>
      </c>
      <c r="E73" s="7" t="s">
        <v>668</v>
      </c>
      <c r="F73" s="6" t="s">
        <v>669</v>
      </c>
      <c r="G73" s="8" t="s">
        <v>670</v>
      </c>
      <c r="H73" s="6" t="s">
        <v>671</v>
      </c>
      <c r="I73" s="6" t="s">
        <v>672</v>
      </c>
      <c r="J73" s="6" t="s">
        <v>673</v>
      </c>
      <c r="K73" s="6" t="s">
        <v>674</v>
      </c>
      <c r="L73" s="13" t="s">
        <v>45</v>
      </c>
      <c r="M73" s="6" t="s">
        <v>656</v>
      </c>
      <c r="N73" s="6" t="s">
        <v>675</v>
      </c>
      <c r="O73" s="10" t="s">
        <v>676</v>
      </c>
    </row>
    <row r="74">
      <c r="A74" s="3">
        <v>69.0</v>
      </c>
      <c r="B74" s="12"/>
      <c r="C74" s="15"/>
      <c r="D74" s="6" t="s">
        <v>546</v>
      </c>
      <c r="E74" s="7" t="s">
        <v>677</v>
      </c>
      <c r="F74" s="6" t="s">
        <v>678</v>
      </c>
      <c r="G74" s="8" t="s">
        <v>679</v>
      </c>
      <c r="H74" s="6" t="s">
        <v>680</v>
      </c>
      <c r="I74" s="6" t="s">
        <v>681</v>
      </c>
      <c r="J74" s="6" t="s">
        <v>682</v>
      </c>
      <c r="K74" s="6" t="s">
        <v>683</v>
      </c>
      <c r="L74" s="13" t="s">
        <v>45</v>
      </c>
      <c r="M74" s="6" t="s">
        <v>626</v>
      </c>
      <c r="N74" s="6" t="s">
        <v>684</v>
      </c>
      <c r="O74" s="10" t="s">
        <v>573</v>
      </c>
    </row>
    <row r="75">
      <c r="A75" s="11">
        <v>70.0</v>
      </c>
      <c r="B75" s="12"/>
      <c r="C75" s="16" t="s">
        <v>685</v>
      </c>
      <c r="D75" s="6" t="s">
        <v>686</v>
      </c>
      <c r="E75" s="7" t="s">
        <v>687</v>
      </c>
      <c r="F75" s="6" t="s">
        <v>688</v>
      </c>
      <c r="G75" s="8" t="s">
        <v>689</v>
      </c>
      <c r="H75" s="6" t="s">
        <v>690</v>
      </c>
      <c r="I75" s="6" t="s">
        <v>691</v>
      </c>
      <c r="J75" s="6" t="s">
        <v>692</v>
      </c>
      <c r="K75" s="6" t="s">
        <v>693</v>
      </c>
      <c r="L75" s="9" t="s">
        <v>25</v>
      </c>
      <c r="M75" s="6" t="s">
        <v>694</v>
      </c>
      <c r="N75" s="6" t="s">
        <v>684</v>
      </c>
      <c r="O75" s="10" t="s">
        <v>573</v>
      </c>
    </row>
    <row r="76">
      <c r="A76" s="3">
        <v>71.0</v>
      </c>
      <c r="B76" s="12"/>
      <c r="C76" s="15"/>
      <c r="D76" s="6" t="s">
        <v>686</v>
      </c>
      <c r="E76" s="7" t="s">
        <v>695</v>
      </c>
      <c r="F76" s="6" t="s">
        <v>696</v>
      </c>
      <c r="G76" s="8" t="s">
        <v>697</v>
      </c>
      <c r="H76" s="6" t="s">
        <v>698</v>
      </c>
      <c r="I76" s="6" t="s">
        <v>699</v>
      </c>
      <c r="J76" s="6" t="s">
        <v>700</v>
      </c>
      <c r="K76" s="6" t="s">
        <v>701</v>
      </c>
      <c r="L76" s="14" t="s">
        <v>54</v>
      </c>
      <c r="M76" s="6" t="s">
        <v>694</v>
      </c>
      <c r="N76" s="6" t="s">
        <v>702</v>
      </c>
      <c r="O76" s="10" t="s">
        <v>703</v>
      </c>
    </row>
    <row r="77">
      <c r="A77" s="11">
        <v>72.0</v>
      </c>
      <c r="B77" s="15"/>
      <c r="C77" s="19" t="s">
        <v>704</v>
      </c>
      <c r="D77" s="6" t="s">
        <v>546</v>
      </c>
      <c r="E77" s="7" t="s">
        <v>705</v>
      </c>
      <c r="F77" s="6" t="s">
        <v>706</v>
      </c>
      <c r="G77" s="8" t="s">
        <v>707</v>
      </c>
      <c r="H77" s="6" t="s">
        <v>708</v>
      </c>
      <c r="I77" s="6" t="s">
        <v>709</v>
      </c>
      <c r="J77" s="6" t="s">
        <v>710</v>
      </c>
      <c r="K77" s="6" t="s">
        <v>711</v>
      </c>
      <c r="L77" s="9" t="s">
        <v>25</v>
      </c>
      <c r="M77" s="6" t="s">
        <v>712</v>
      </c>
      <c r="N77" s="6" t="s">
        <v>713</v>
      </c>
      <c r="O77" s="10" t="s">
        <v>714</v>
      </c>
    </row>
    <row r="78">
      <c r="A78" s="3">
        <v>73.0</v>
      </c>
      <c r="B78" s="20" t="s">
        <v>715</v>
      </c>
      <c r="C78" s="5" t="s">
        <v>716</v>
      </c>
      <c r="D78" s="6" t="s">
        <v>717</v>
      </c>
      <c r="E78" s="7" t="s">
        <v>718</v>
      </c>
      <c r="F78" s="6" t="s">
        <v>719</v>
      </c>
      <c r="G78" s="8" t="s">
        <v>720</v>
      </c>
      <c r="H78" s="6" t="s">
        <v>721</v>
      </c>
      <c r="I78" s="6" t="s">
        <v>722</v>
      </c>
      <c r="J78" s="6" t="s">
        <v>723</v>
      </c>
      <c r="K78" s="6" t="s">
        <v>724</v>
      </c>
      <c r="L78" s="13" t="s">
        <v>45</v>
      </c>
      <c r="M78" s="6" t="s">
        <v>725</v>
      </c>
      <c r="N78" s="6" t="s">
        <v>726</v>
      </c>
      <c r="O78" s="10" t="s">
        <v>727</v>
      </c>
    </row>
    <row r="79">
      <c r="A79" s="11">
        <v>74.0</v>
      </c>
      <c r="B79" s="12"/>
      <c r="C79" s="12"/>
      <c r="D79" s="6" t="s">
        <v>717</v>
      </c>
      <c r="E79" s="7" t="s">
        <v>728</v>
      </c>
      <c r="F79" s="6" t="s">
        <v>729</v>
      </c>
      <c r="G79" s="8" t="s">
        <v>730</v>
      </c>
      <c r="H79" s="6" t="s">
        <v>731</v>
      </c>
      <c r="I79" s="6" t="s">
        <v>732</v>
      </c>
      <c r="J79" s="6" t="s">
        <v>733</v>
      </c>
      <c r="K79" s="6" t="s">
        <v>734</v>
      </c>
      <c r="L79" s="13" t="s">
        <v>45</v>
      </c>
      <c r="M79" s="6" t="s">
        <v>735</v>
      </c>
      <c r="N79" s="6" t="s">
        <v>736</v>
      </c>
      <c r="O79" s="10" t="s">
        <v>228</v>
      </c>
    </row>
    <row r="80">
      <c r="A80" s="3">
        <v>75.0</v>
      </c>
      <c r="B80" s="12"/>
      <c r="C80" s="12"/>
      <c r="D80" s="6" t="s">
        <v>717</v>
      </c>
      <c r="E80" s="7" t="s">
        <v>737</v>
      </c>
      <c r="F80" s="6" t="s">
        <v>738</v>
      </c>
      <c r="G80" s="8" t="s">
        <v>739</v>
      </c>
      <c r="H80" s="6" t="s">
        <v>740</v>
      </c>
      <c r="I80" s="6" t="s">
        <v>741</v>
      </c>
      <c r="J80" s="6" t="s">
        <v>742</v>
      </c>
      <c r="K80" s="6" t="s">
        <v>743</v>
      </c>
      <c r="L80" s="13" t="s">
        <v>45</v>
      </c>
      <c r="M80" s="6" t="s">
        <v>735</v>
      </c>
      <c r="N80" s="6" t="s">
        <v>744</v>
      </c>
      <c r="O80" s="10" t="s">
        <v>745</v>
      </c>
    </row>
    <row r="81">
      <c r="A81" s="11">
        <v>76.0</v>
      </c>
      <c r="B81" s="12"/>
      <c r="C81" s="15"/>
      <c r="D81" s="6" t="s">
        <v>717</v>
      </c>
      <c r="E81" s="7" t="s">
        <v>746</v>
      </c>
      <c r="F81" s="6" t="s">
        <v>747</v>
      </c>
      <c r="G81" s="8" t="s">
        <v>748</v>
      </c>
      <c r="H81" s="6" t="s">
        <v>749</v>
      </c>
      <c r="I81" s="6" t="s">
        <v>750</v>
      </c>
      <c r="J81" s="6" t="s">
        <v>751</v>
      </c>
      <c r="K81" s="6" t="s">
        <v>752</v>
      </c>
      <c r="L81" s="13" t="s">
        <v>45</v>
      </c>
      <c r="M81" s="6" t="s">
        <v>753</v>
      </c>
      <c r="N81" s="6" t="s">
        <v>754</v>
      </c>
      <c r="O81" s="10" t="s">
        <v>755</v>
      </c>
    </row>
    <row r="82">
      <c r="A82" s="3">
        <v>77.0</v>
      </c>
      <c r="B82" s="12"/>
      <c r="C82" s="5" t="s">
        <v>756</v>
      </c>
      <c r="D82" s="6" t="s">
        <v>717</v>
      </c>
      <c r="E82" s="7" t="s">
        <v>757</v>
      </c>
      <c r="F82" s="6" t="s">
        <v>758</v>
      </c>
      <c r="G82" s="8" t="s">
        <v>759</v>
      </c>
      <c r="H82" s="6" t="s">
        <v>760</v>
      </c>
      <c r="I82" s="6" t="s">
        <v>761</v>
      </c>
      <c r="J82" s="6" t="s">
        <v>762</v>
      </c>
      <c r="K82" s="6" t="s">
        <v>763</v>
      </c>
      <c r="L82" s="9" t="s">
        <v>25</v>
      </c>
      <c r="M82" s="6" t="s">
        <v>735</v>
      </c>
      <c r="N82" s="6" t="s">
        <v>764</v>
      </c>
      <c r="O82" s="10" t="s">
        <v>765</v>
      </c>
    </row>
    <row r="83">
      <c r="A83" s="11">
        <v>78.0</v>
      </c>
      <c r="B83" s="12"/>
      <c r="C83" s="12"/>
      <c r="D83" s="6" t="s">
        <v>717</v>
      </c>
      <c r="E83" s="7" t="s">
        <v>766</v>
      </c>
      <c r="F83" s="6" t="s">
        <v>767</v>
      </c>
      <c r="G83" s="8" t="s">
        <v>768</v>
      </c>
      <c r="H83" s="6" t="s">
        <v>769</v>
      </c>
      <c r="I83" s="6" t="s">
        <v>770</v>
      </c>
      <c r="J83" s="6" t="s">
        <v>771</v>
      </c>
      <c r="K83" s="6" t="s">
        <v>772</v>
      </c>
      <c r="L83" s="9" t="s">
        <v>25</v>
      </c>
      <c r="M83" s="6" t="s">
        <v>773</v>
      </c>
      <c r="N83" s="6" t="s">
        <v>774</v>
      </c>
      <c r="O83" s="10" t="s">
        <v>775</v>
      </c>
    </row>
    <row r="84">
      <c r="A84" s="3">
        <v>79.0</v>
      </c>
      <c r="B84" s="12"/>
      <c r="C84" s="15"/>
      <c r="D84" s="6" t="s">
        <v>717</v>
      </c>
      <c r="E84" s="7" t="s">
        <v>776</v>
      </c>
      <c r="F84" s="6" t="s">
        <v>777</v>
      </c>
      <c r="G84" s="8" t="s">
        <v>778</v>
      </c>
      <c r="H84" s="6" t="s">
        <v>779</v>
      </c>
      <c r="I84" s="6" t="s">
        <v>780</v>
      </c>
      <c r="J84" s="6" t="s">
        <v>781</v>
      </c>
      <c r="K84" s="6" t="s">
        <v>782</v>
      </c>
      <c r="L84" s="9" t="s">
        <v>25</v>
      </c>
      <c r="M84" s="6" t="s">
        <v>773</v>
      </c>
      <c r="N84" s="6" t="s">
        <v>783</v>
      </c>
      <c r="O84" s="10" t="s">
        <v>775</v>
      </c>
    </row>
    <row r="85">
      <c r="A85" s="11">
        <v>80.0</v>
      </c>
      <c r="B85" s="12"/>
      <c r="C85" s="16" t="s">
        <v>784</v>
      </c>
      <c r="D85" s="6" t="s">
        <v>717</v>
      </c>
      <c r="E85" s="7" t="s">
        <v>785</v>
      </c>
      <c r="F85" s="6" t="s">
        <v>786</v>
      </c>
      <c r="G85" s="8" t="s">
        <v>787</v>
      </c>
      <c r="H85" s="6" t="s">
        <v>788</v>
      </c>
      <c r="I85" s="6" t="s">
        <v>789</v>
      </c>
      <c r="J85" s="6" t="s">
        <v>790</v>
      </c>
      <c r="K85" s="6" t="s">
        <v>791</v>
      </c>
      <c r="L85" s="9" t="s">
        <v>25</v>
      </c>
      <c r="M85" s="6" t="s">
        <v>792</v>
      </c>
      <c r="N85" s="6" t="s">
        <v>793</v>
      </c>
      <c r="O85" s="10" t="s">
        <v>794</v>
      </c>
    </row>
    <row r="86">
      <c r="A86" s="3">
        <v>81.0</v>
      </c>
      <c r="B86" s="12"/>
      <c r="C86" s="12"/>
      <c r="D86" s="6" t="s">
        <v>717</v>
      </c>
      <c r="E86" s="7" t="s">
        <v>795</v>
      </c>
      <c r="F86" s="6" t="s">
        <v>796</v>
      </c>
      <c r="G86" s="8" t="s">
        <v>797</v>
      </c>
      <c r="H86" s="6" t="s">
        <v>798</v>
      </c>
      <c r="I86" s="6" t="s">
        <v>799</v>
      </c>
      <c r="J86" s="6" t="s">
        <v>800</v>
      </c>
      <c r="K86" s="6" t="s">
        <v>801</v>
      </c>
      <c r="L86" s="9" t="s">
        <v>25</v>
      </c>
      <c r="M86" s="6" t="s">
        <v>802</v>
      </c>
      <c r="N86" s="6" t="s">
        <v>803</v>
      </c>
      <c r="O86" s="10" t="s">
        <v>804</v>
      </c>
    </row>
    <row r="87">
      <c r="A87" s="11">
        <v>82.0</v>
      </c>
      <c r="B87" s="12"/>
      <c r="C87" s="12"/>
      <c r="D87" s="6" t="s">
        <v>717</v>
      </c>
      <c r="E87" s="7" t="s">
        <v>805</v>
      </c>
      <c r="F87" s="6" t="s">
        <v>806</v>
      </c>
      <c r="G87" s="8" t="s">
        <v>807</v>
      </c>
      <c r="H87" s="6" t="s">
        <v>808</v>
      </c>
      <c r="I87" s="6" t="s">
        <v>809</v>
      </c>
      <c r="J87" s="6" t="s">
        <v>810</v>
      </c>
      <c r="K87" s="6" t="s">
        <v>811</v>
      </c>
      <c r="L87" s="13" t="s">
        <v>45</v>
      </c>
      <c r="M87" s="6" t="s">
        <v>599</v>
      </c>
      <c r="N87" s="6" t="s">
        <v>812</v>
      </c>
      <c r="O87" s="10" t="s">
        <v>813</v>
      </c>
    </row>
    <row r="88">
      <c r="A88" s="3">
        <v>83.0</v>
      </c>
      <c r="B88" s="12"/>
      <c r="C88" s="12"/>
      <c r="D88" s="6" t="s">
        <v>717</v>
      </c>
      <c r="E88" s="7" t="s">
        <v>814</v>
      </c>
      <c r="F88" s="6" t="s">
        <v>815</v>
      </c>
      <c r="G88" s="8" t="s">
        <v>816</v>
      </c>
      <c r="H88" s="6" t="s">
        <v>817</v>
      </c>
      <c r="I88" s="6" t="s">
        <v>818</v>
      </c>
      <c r="J88" s="6" t="s">
        <v>819</v>
      </c>
      <c r="K88" s="6" t="s">
        <v>820</v>
      </c>
      <c r="L88" s="13" t="s">
        <v>45</v>
      </c>
      <c r="M88" s="6" t="s">
        <v>753</v>
      </c>
      <c r="N88" s="6" t="s">
        <v>744</v>
      </c>
      <c r="O88" s="10" t="s">
        <v>821</v>
      </c>
    </row>
    <row r="89">
      <c r="A89" s="11">
        <v>84.0</v>
      </c>
      <c r="B89" s="12"/>
      <c r="C89" s="12"/>
      <c r="D89" s="6" t="s">
        <v>717</v>
      </c>
      <c r="E89" s="7" t="s">
        <v>822</v>
      </c>
      <c r="F89" s="6" t="s">
        <v>823</v>
      </c>
      <c r="G89" s="8" t="s">
        <v>824</v>
      </c>
      <c r="H89" s="6" t="s">
        <v>825</v>
      </c>
      <c r="I89" s="6" t="s">
        <v>826</v>
      </c>
      <c r="J89" s="6" t="s">
        <v>827</v>
      </c>
      <c r="K89" s="6" t="s">
        <v>828</v>
      </c>
      <c r="L89" s="9" t="s">
        <v>25</v>
      </c>
      <c r="M89" s="6" t="s">
        <v>829</v>
      </c>
      <c r="N89" s="6" t="s">
        <v>830</v>
      </c>
      <c r="O89" s="10" t="s">
        <v>676</v>
      </c>
    </row>
    <row r="90">
      <c r="A90" s="3">
        <v>85.0</v>
      </c>
      <c r="B90" s="12"/>
      <c r="C90" s="12"/>
      <c r="D90" s="6" t="s">
        <v>717</v>
      </c>
      <c r="E90" s="7" t="s">
        <v>831</v>
      </c>
      <c r="F90" s="6" t="s">
        <v>832</v>
      </c>
      <c r="G90" s="8" t="s">
        <v>833</v>
      </c>
      <c r="H90" s="6" t="s">
        <v>834</v>
      </c>
      <c r="I90" s="6" t="s">
        <v>835</v>
      </c>
      <c r="J90" s="6" t="s">
        <v>836</v>
      </c>
      <c r="K90" s="6" t="s">
        <v>837</v>
      </c>
      <c r="L90" s="13" t="s">
        <v>45</v>
      </c>
      <c r="M90" s="6" t="s">
        <v>735</v>
      </c>
      <c r="N90" s="6" t="s">
        <v>838</v>
      </c>
      <c r="O90" s="10" t="s">
        <v>839</v>
      </c>
    </row>
    <row r="91">
      <c r="A91" s="11">
        <v>86.0</v>
      </c>
      <c r="B91" s="15"/>
      <c r="C91" s="15"/>
      <c r="D91" s="6" t="s">
        <v>717</v>
      </c>
      <c r="E91" s="7" t="s">
        <v>840</v>
      </c>
      <c r="F91" s="6" t="s">
        <v>841</v>
      </c>
      <c r="G91" s="8" t="s">
        <v>842</v>
      </c>
      <c r="H91" s="6" t="s">
        <v>843</v>
      </c>
      <c r="I91" s="6" t="s">
        <v>844</v>
      </c>
      <c r="J91" s="6" t="s">
        <v>845</v>
      </c>
      <c r="K91" s="6" t="s">
        <v>846</v>
      </c>
      <c r="L91" s="9" t="s">
        <v>25</v>
      </c>
      <c r="M91" s="6" t="s">
        <v>599</v>
      </c>
      <c r="N91" s="6" t="s">
        <v>847</v>
      </c>
      <c r="O91" s="10" t="s">
        <v>848</v>
      </c>
    </row>
    <row r="92">
      <c r="A92" s="3">
        <v>219.0</v>
      </c>
      <c r="B92" s="21" t="s">
        <v>849</v>
      </c>
      <c r="C92" s="5" t="s">
        <v>850</v>
      </c>
      <c r="D92" s="17" t="s">
        <v>851</v>
      </c>
      <c r="E92" s="7" t="s">
        <v>852</v>
      </c>
      <c r="F92" s="6" t="s">
        <v>853</v>
      </c>
      <c r="G92" s="8" t="s">
        <v>854</v>
      </c>
      <c r="H92" s="6" t="s">
        <v>855</v>
      </c>
      <c r="I92" s="6" t="s">
        <v>856</v>
      </c>
      <c r="J92" s="6" t="s">
        <v>857</v>
      </c>
      <c r="K92" s="6" t="s">
        <v>858</v>
      </c>
      <c r="L92" s="9" t="s">
        <v>45</v>
      </c>
      <c r="M92" s="6" t="s">
        <v>859</v>
      </c>
      <c r="N92" s="6" t="s">
        <v>860</v>
      </c>
      <c r="O92" s="10" t="s">
        <v>861</v>
      </c>
    </row>
    <row r="93">
      <c r="A93" s="3">
        <v>87.0</v>
      </c>
      <c r="B93" s="12"/>
      <c r="C93" s="12"/>
      <c r="D93" s="12"/>
      <c r="E93" s="7" t="s">
        <v>862</v>
      </c>
      <c r="F93" s="6" t="s">
        <v>863</v>
      </c>
      <c r="G93" s="8" t="s">
        <v>864</v>
      </c>
      <c r="H93" s="6" t="s">
        <v>865</v>
      </c>
      <c r="I93" s="6" t="s">
        <v>866</v>
      </c>
      <c r="J93" s="6" t="s">
        <v>867</v>
      </c>
      <c r="K93" s="6" t="s">
        <v>868</v>
      </c>
      <c r="L93" s="9" t="s">
        <v>25</v>
      </c>
      <c r="M93" s="6" t="s">
        <v>869</v>
      </c>
      <c r="N93" s="6" t="s">
        <v>870</v>
      </c>
      <c r="O93" s="10" t="s">
        <v>871</v>
      </c>
    </row>
    <row r="94">
      <c r="A94" s="11">
        <v>88.0</v>
      </c>
      <c r="B94" s="12"/>
      <c r="C94" s="12"/>
      <c r="D94" s="12"/>
      <c r="E94" s="7" t="s">
        <v>872</v>
      </c>
      <c r="F94" s="6" t="s">
        <v>873</v>
      </c>
      <c r="G94" s="8" t="s">
        <v>874</v>
      </c>
      <c r="H94" s="6" t="s">
        <v>875</v>
      </c>
      <c r="I94" s="6" t="s">
        <v>876</v>
      </c>
      <c r="J94" s="6" t="s">
        <v>877</v>
      </c>
      <c r="K94" s="6" t="s">
        <v>878</v>
      </c>
      <c r="L94" s="14" t="s">
        <v>54</v>
      </c>
      <c r="M94" s="6" t="s">
        <v>879</v>
      </c>
      <c r="N94" s="6" t="s">
        <v>880</v>
      </c>
      <c r="O94" s="10" t="s">
        <v>881</v>
      </c>
    </row>
    <row r="95">
      <c r="A95" s="3">
        <v>89.0</v>
      </c>
      <c r="B95" s="12"/>
      <c r="C95" s="15"/>
      <c r="D95" s="15"/>
      <c r="E95" s="7" t="s">
        <v>882</v>
      </c>
      <c r="F95" s="6" t="s">
        <v>883</v>
      </c>
      <c r="G95" s="8" t="s">
        <v>884</v>
      </c>
      <c r="H95" s="6" t="s">
        <v>885</v>
      </c>
      <c r="I95" s="6" t="s">
        <v>886</v>
      </c>
      <c r="J95" s="6" t="s">
        <v>887</v>
      </c>
      <c r="K95" s="6" t="s">
        <v>888</v>
      </c>
      <c r="L95" s="14" t="s">
        <v>54</v>
      </c>
      <c r="M95" s="6" t="s">
        <v>869</v>
      </c>
      <c r="N95" s="6" t="s">
        <v>889</v>
      </c>
      <c r="O95" s="10" t="s">
        <v>890</v>
      </c>
    </row>
    <row r="96">
      <c r="A96" s="11">
        <v>220.0</v>
      </c>
      <c r="B96" s="12"/>
      <c r="C96" s="16" t="s">
        <v>891</v>
      </c>
      <c r="D96" s="6" t="s">
        <v>892</v>
      </c>
      <c r="E96" s="7" t="s">
        <v>893</v>
      </c>
      <c r="F96" s="6" t="s">
        <v>894</v>
      </c>
      <c r="G96" s="8" t="s">
        <v>895</v>
      </c>
      <c r="H96" s="6" t="s">
        <v>896</v>
      </c>
      <c r="I96" s="6" t="s">
        <v>897</v>
      </c>
      <c r="J96" s="6" t="s">
        <v>898</v>
      </c>
      <c r="K96" s="6" t="s">
        <v>899</v>
      </c>
      <c r="L96" s="14" t="s">
        <v>54</v>
      </c>
      <c r="M96" s="6" t="s">
        <v>900</v>
      </c>
      <c r="N96" s="6" t="s">
        <v>901</v>
      </c>
      <c r="O96" s="10" t="s">
        <v>902</v>
      </c>
    </row>
    <row r="97">
      <c r="A97" s="11">
        <v>90.0</v>
      </c>
      <c r="B97" s="12"/>
      <c r="C97" s="12"/>
      <c r="D97" s="6" t="s">
        <v>892</v>
      </c>
      <c r="E97" s="7" t="s">
        <v>903</v>
      </c>
      <c r="F97" s="6" t="s">
        <v>904</v>
      </c>
      <c r="G97" s="8" t="s">
        <v>905</v>
      </c>
      <c r="H97" s="6" t="s">
        <v>906</v>
      </c>
      <c r="I97" s="6" t="s">
        <v>907</v>
      </c>
      <c r="J97" s="6" t="s">
        <v>908</v>
      </c>
      <c r="K97" s="6" t="s">
        <v>909</v>
      </c>
      <c r="L97" s="14" t="s">
        <v>54</v>
      </c>
      <c r="M97" s="6" t="s">
        <v>55</v>
      </c>
      <c r="N97" s="6" t="s">
        <v>910</v>
      </c>
      <c r="O97" s="10" t="s">
        <v>911</v>
      </c>
    </row>
    <row r="98">
      <c r="A98" s="3">
        <v>91.0</v>
      </c>
      <c r="B98" s="12"/>
      <c r="C98" s="12"/>
      <c r="D98" s="6" t="s">
        <v>892</v>
      </c>
      <c r="E98" s="7" t="s">
        <v>912</v>
      </c>
      <c r="F98" s="6" t="s">
        <v>913</v>
      </c>
      <c r="G98" s="8" t="s">
        <v>914</v>
      </c>
      <c r="H98" s="6" t="s">
        <v>915</v>
      </c>
      <c r="I98" s="6" t="s">
        <v>916</v>
      </c>
      <c r="J98" s="6" t="s">
        <v>92</v>
      </c>
      <c r="K98" s="6" t="s">
        <v>917</v>
      </c>
      <c r="L98" s="14" t="s">
        <v>54</v>
      </c>
      <c r="M98" s="6" t="s">
        <v>55</v>
      </c>
      <c r="N98" s="6" t="s">
        <v>918</v>
      </c>
      <c r="O98" s="10" t="s">
        <v>919</v>
      </c>
    </row>
    <row r="99">
      <c r="A99" s="11">
        <v>92.0</v>
      </c>
      <c r="B99" s="12"/>
      <c r="C99" s="12"/>
      <c r="D99" s="6" t="s">
        <v>892</v>
      </c>
      <c r="E99" s="7" t="s">
        <v>920</v>
      </c>
      <c r="F99" s="6" t="s">
        <v>921</v>
      </c>
      <c r="G99" s="8" t="s">
        <v>922</v>
      </c>
      <c r="H99" s="6" t="s">
        <v>923</v>
      </c>
      <c r="I99" s="6" t="s">
        <v>924</v>
      </c>
      <c r="J99" s="6" t="s">
        <v>925</v>
      </c>
      <c r="K99" s="6" t="s">
        <v>926</v>
      </c>
      <c r="L99" s="9" t="s">
        <v>25</v>
      </c>
      <c r="M99" s="6" t="s">
        <v>55</v>
      </c>
      <c r="N99" s="6" t="s">
        <v>927</v>
      </c>
      <c r="O99" s="10" t="s">
        <v>928</v>
      </c>
    </row>
    <row r="100">
      <c r="A100" s="3">
        <v>93.0</v>
      </c>
      <c r="B100" s="12"/>
      <c r="C100" s="12"/>
      <c r="D100" s="6" t="s">
        <v>892</v>
      </c>
      <c r="E100" s="7" t="s">
        <v>929</v>
      </c>
      <c r="F100" s="6" t="s">
        <v>930</v>
      </c>
      <c r="G100" s="8" t="s">
        <v>931</v>
      </c>
      <c r="H100" s="6" t="s">
        <v>932</v>
      </c>
      <c r="I100" s="6" t="s">
        <v>691</v>
      </c>
      <c r="J100" s="6" t="s">
        <v>692</v>
      </c>
      <c r="K100" s="6" t="s">
        <v>693</v>
      </c>
      <c r="L100" s="9" t="s">
        <v>25</v>
      </c>
      <c r="M100" s="6" t="s">
        <v>933</v>
      </c>
      <c r="N100" s="6" t="s">
        <v>934</v>
      </c>
      <c r="O100" s="10" t="s">
        <v>935</v>
      </c>
    </row>
    <row r="101">
      <c r="A101" s="11">
        <v>94.0</v>
      </c>
      <c r="B101" s="12"/>
      <c r="C101" s="12"/>
      <c r="D101" s="6" t="s">
        <v>892</v>
      </c>
      <c r="E101" s="7" t="s">
        <v>936</v>
      </c>
      <c r="F101" s="6" t="s">
        <v>937</v>
      </c>
      <c r="G101" s="8" t="s">
        <v>938</v>
      </c>
      <c r="H101" s="6" t="s">
        <v>939</v>
      </c>
      <c r="I101" s="6" t="s">
        <v>940</v>
      </c>
      <c r="J101" s="6" t="s">
        <v>941</v>
      </c>
      <c r="K101" s="6" t="s">
        <v>942</v>
      </c>
      <c r="L101" s="9" t="s">
        <v>25</v>
      </c>
      <c r="M101" s="6" t="s">
        <v>55</v>
      </c>
      <c r="N101" s="6" t="s">
        <v>943</v>
      </c>
      <c r="O101" s="10" t="s">
        <v>919</v>
      </c>
    </row>
    <row r="102">
      <c r="A102" s="3">
        <v>95.0</v>
      </c>
      <c r="B102" s="12"/>
      <c r="C102" s="12"/>
      <c r="D102" s="6" t="s">
        <v>892</v>
      </c>
      <c r="E102" s="7" t="s">
        <v>944</v>
      </c>
      <c r="F102" s="6" t="s">
        <v>945</v>
      </c>
      <c r="G102" s="8" t="s">
        <v>946</v>
      </c>
      <c r="H102" s="6" t="s">
        <v>947</v>
      </c>
      <c r="I102" s="6" t="s">
        <v>948</v>
      </c>
      <c r="J102" s="6" t="s">
        <v>949</v>
      </c>
      <c r="K102" s="6" t="s">
        <v>950</v>
      </c>
      <c r="L102" s="14" t="s">
        <v>54</v>
      </c>
      <c r="M102" s="6" t="s">
        <v>55</v>
      </c>
      <c r="N102" s="6" t="s">
        <v>951</v>
      </c>
      <c r="O102" s="10" t="s">
        <v>919</v>
      </c>
    </row>
    <row r="103">
      <c r="A103" s="11">
        <v>96.0</v>
      </c>
      <c r="B103" s="12"/>
      <c r="C103" s="12"/>
      <c r="D103" s="6" t="s">
        <v>892</v>
      </c>
      <c r="E103" s="7" t="s">
        <v>952</v>
      </c>
      <c r="F103" s="6" t="s">
        <v>953</v>
      </c>
      <c r="G103" s="8" t="s">
        <v>954</v>
      </c>
      <c r="H103" s="6" t="s">
        <v>955</v>
      </c>
      <c r="I103" s="6" t="s">
        <v>691</v>
      </c>
      <c r="J103" s="6" t="s">
        <v>692</v>
      </c>
      <c r="K103" s="6" t="s">
        <v>693</v>
      </c>
      <c r="L103" s="13" t="s">
        <v>45</v>
      </c>
      <c r="M103" s="6" t="s">
        <v>933</v>
      </c>
      <c r="N103" s="6" t="s">
        <v>934</v>
      </c>
      <c r="O103" s="10" t="s">
        <v>935</v>
      </c>
    </row>
    <row r="104">
      <c r="A104" s="3">
        <v>97.0</v>
      </c>
      <c r="B104" s="12"/>
      <c r="C104" s="12"/>
      <c r="D104" s="6" t="s">
        <v>892</v>
      </c>
      <c r="E104" s="7" t="s">
        <v>956</v>
      </c>
      <c r="F104" s="6" t="s">
        <v>957</v>
      </c>
      <c r="G104" s="8" t="s">
        <v>954</v>
      </c>
      <c r="H104" s="6" t="s">
        <v>958</v>
      </c>
      <c r="I104" s="6" t="s">
        <v>691</v>
      </c>
      <c r="J104" s="6" t="s">
        <v>692</v>
      </c>
      <c r="K104" s="6" t="s">
        <v>693</v>
      </c>
      <c r="L104" s="9" t="s">
        <v>25</v>
      </c>
      <c r="M104" s="6" t="s">
        <v>55</v>
      </c>
      <c r="N104" s="6" t="s">
        <v>959</v>
      </c>
      <c r="O104" s="10" t="s">
        <v>960</v>
      </c>
    </row>
    <row r="105">
      <c r="A105" s="11">
        <v>98.0</v>
      </c>
      <c r="B105" s="12"/>
      <c r="C105" s="12"/>
      <c r="D105" s="6" t="s">
        <v>892</v>
      </c>
      <c r="E105" s="7" t="s">
        <v>961</v>
      </c>
      <c r="F105" s="6" t="s">
        <v>962</v>
      </c>
      <c r="G105" s="8" t="s">
        <v>963</v>
      </c>
      <c r="H105" s="6" t="s">
        <v>964</v>
      </c>
      <c r="I105" s="6" t="s">
        <v>691</v>
      </c>
      <c r="J105" s="6" t="s">
        <v>692</v>
      </c>
      <c r="K105" s="6" t="s">
        <v>693</v>
      </c>
      <c r="L105" s="9" t="s">
        <v>25</v>
      </c>
      <c r="M105" s="6" t="s">
        <v>55</v>
      </c>
      <c r="N105" s="6" t="s">
        <v>959</v>
      </c>
      <c r="O105" s="10" t="s">
        <v>960</v>
      </c>
    </row>
    <row r="106">
      <c r="A106" s="3">
        <v>99.0</v>
      </c>
      <c r="B106" s="12"/>
      <c r="C106" s="15"/>
      <c r="D106" s="6" t="s">
        <v>892</v>
      </c>
      <c r="E106" s="7" t="s">
        <v>965</v>
      </c>
      <c r="F106" s="6" t="s">
        <v>966</v>
      </c>
      <c r="G106" s="8" t="s">
        <v>967</v>
      </c>
      <c r="H106" s="6" t="s">
        <v>968</v>
      </c>
      <c r="I106" s="6" t="s">
        <v>969</v>
      </c>
      <c r="J106" s="6" t="s">
        <v>970</v>
      </c>
      <c r="K106" s="6" t="s">
        <v>971</v>
      </c>
      <c r="L106" s="9" t="s">
        <v>25</v>
      </c>
      <c r="M106" s="6" t="s">
        <v>55</v>
      </c>
      <c r="N106" s="6" t="s">
        <v>959</v>
      </c>
      <c r="O106" s="10" t="s">
        <v>960</v>
      </c>
    </row>
    <row r="107">
      <c r="A107" s="11">
        <v>100.0</v>
      </c>
      <c r="B107" s="12"/>
      <c r="C107" s="16" t="s">
        <v>972</v>
      </c>
      <c r="D107" s="6" t="s">
        <v>851</v>
      </c>
      <c r="E107" s="7" t="s">
        <v>973</v>
      </c>
      <c r="F107" s="6" t="s">
        <v>974</v>
      </c>
      <c r="G107" s="8" t="s">
        <v>975</v>
      </c>
      <c r="H107" s="6" t="s">
        <v>976</v>
      </c>
      <c r="I107" s="6" t="s">
        <v>977</v>
      </c>
      <c r="J107" s="6" t="s">
        <v>978</v>
      </c>
      <c r="K107" s="6" t="s">
        <v>979</v>
      </c>
      <c r="L107" s="9" t="s">
        <v>25</v>
      </c>
      <c r="M107" s="6" t="s">
        <v>980</v>
      </c>
      <c r="N107" s="6" t="s">
        <v>981</v>
      </c>
      <c r="O107" s="10" t="s">
        <v>881</v>
      </c>
    </row>
    <row r="108">
      <c r="A108" s="3">
        <v>101.0</v>
      </c>
      <c r="B108" s="12"/>
      <c r="C108" s="12"/>
      <c r="D108" s="6" t="s">
        <v>851</v>
      </c>
      <c r="E108" s="7" t="s">
        <v>982</v>
      </c>
      <c r="F108" s="6" t="s">
        <v>983</v>
      </c>
      <c r="G108" s="8" t="s">
        <v>984</v>
      </c>
      <c r="H108" s="6" t="s">
        <v>985</v>
      </c>
      <c r="I108" s="6" t="s">
        <v>986</v>
      </c>
      <c r="J108" s="6" t="s">
        <v>987</v>
      </c>
      <c r="K108" s="6" t="s">
        <v>988</v>
      </c>
      <c r="L108" s="9" t="s">
        <v>25</v>
      </c>
      <c r="M108" s="6" t="s">
        <v>989</v>
      </c>
      <c r="N108" s="6" t="s">
        <v>990</v>
      </c>
      <c r="O108" s="10" t="s">
        <v>871</v>
      </c>
    </row>
    <row r="109">
      <c r="A109" s="11">
        <v>102.0</v>
      </c>
      <c r="B109" s="12"/>
      <c r="C109" s="12"/>
      <c r="D109" s="6" t="s">
        <v>851</v>
      </c>
      <c r="E109" s="7" t="s">
        <v>991</v>
      </c>
      <c r="F109" s="6" t="s">
        <v>992</v>
      </c>
      <c r="G109" s="8" t="s">
        <v>993</v>
      </c>
      <c r="H109" s="6" t="s">
        <v>994</v>
      </c>
      <c r="I109" s="6" t="s">
        <v>995</v>
      </c>
      <c r="J109" s="6" t="s">
        <v>996</v>
      </c>
      <c r="K109" s="6" t="s">
        <v>997</v>
      </c>
      <c r="L109" s="14" t="s">
        <v>54</v>
      </c>
      <c r="M109" s="6" t="s">
        <v>998</v>
      </c>
      <c r="N109" s="6" t="s">
        <v>999</v>
      </c>
      <c r="O109" s="10" t="s">
        <v>1000</v>
      </c>
    </row>
    <row r="110">
      <c r="A110" s="3">
        <v>103.0</v>
      </c>
      <c r="B110" s="12"/>
      <c r="C110" s="12"/>
      <c r="D110" s="6" t="s">
        <v>851</v>
      </c>
      <c r="E110" s="7" t="s">
        <v>1001</v>
      </c>
      <c r="F110" s="6" t="s">
        <v>1002</v>
      </c>
      <c r="G110" s="8" t="s">
        <v>1003</v>
      </c>
      <c r="H110" s="6" t="s">
        <v>1004</v>
      </c>
      <c r="I110" s="6" t="s">
        <v>1005</v>
      </c>
      <c r="J110" s="6" t="s">
        <v>1006</v>
      </c>
      <c r="K110" s="6" t="s">
        <v>1007</v>
      </c>
      <c r="L110" s="13" t="s">
        <v>45</v>
      </c>
      <c r="M110" s="6" t="s">
        <v>1008</v>
      </c>
      <c r="N110" s="6" t="s">
        <v>1009</v>
      </c>
      <c r="O110" s="10" t="s">
        <v>1010</v>
      </c>
    </row>
    <row r="111">
      <c r="A111" s="11">
        <v>104.0</v>
      </c>
      <c r="B111" s="12"/>
      <c r="C111" s="12"/>
      <c r="D111" s="6" t="s">
        <v>851</v>
      </c>
      <c r="E111" s="7" t="s">
        <v>1011</v>
      </c>
      <c r="F111" s="6" t="s">
        <v>1012</v>
      </c>
      <c r="G111" s="8" t="s">
        <v>1013</v>
      </c>
      <c r="H111" s="6" t="s">
        <v>1014</v>
      </c>
      <c r="I111" s="6" t="s">
        <v>1015</v>
      </c>
      <c r="J111" s="6" t="s">
        <v>1016</v>
      </c>
      <c r="K111" s="6" t="s">
        <v>1017</v>
      </c>
      <c r="L111" s="14" t="s">
        <v>54</v>
      </c>
      <c r="M111" s="6" t="s">
        <v>1018</v>
      </c>
      <c r="N111" s="6" t="s">
        <v>1019</v>
      </c>
      <c r="O111" s="10" t="s">
        <v>1020</v>
      </c>
    </row>
    <row r="112">
      <c r="A112" s="3">
        <v>105.0</v>
      </c>
      <c r="B112" s="12"/>
      <c r="C112" s="15"/>
      <c r="D112" s="6" t="s">
        <v>851</v>
      </c>
      <c r="E112" s="7" t="s">
        <v>1021</v>
      </c>
      <c r="F112" s="6" t="s">
        <v>1022</v>
      </c>
      <c r="G112" s="8" t="s">
        <v>1023</v>
      </c>
      <c r="H112" s="6" t="s">
        <v>1024</v>
      </c>
      <c r="I112" s="6" t="s">
        <v>1025</v>
      </c>
      <c r="J112" s="6" t="s">
        <v>1026</v>
      </c>
      <c r="K112" s="6" t="s">
        <v>1027</v>
      </c>
      <c r="L112" s="9" t="s">
        <v>25</v>
      </c>
      <c r="M112" s="6" t="s">
        <v>1028</v>
      </c>
      <c r="N112" s="6" t="s">
        <v>1029</v>
      </c>
      <c r="O112" s="10" t="s">
        <v>1010</v>
      </c>
    </row>
    <row r="113">
      <c r="A113" s="11">
        <v>106.0</v>
      </c>
      <c r="B113" s="12"/>
      <c r="C113" s="16" t="s">
        <v>1030</v>
      </c>
      <c r="D113" s="6" t="s">
        <v>892</v>
      </c>
      <c r="E113" s="7" t="s">
        <v>1031</v>
      </c>
      <c r="F113" s="6" t="s">
        <v>1032</v>
      </c>
      <c r="G113" s="8" t="s">
        <v>1033</v>
      </c>
      <c r="H113" s="6" t="s">
        <v>1034</v>
      </c>
      <c r="I113" s="6" t="s">
        <v>1035</v>
      </c>
      <c r="J113" s="6" t="s">
        <v>1036</v>
      </c>
      <c r="K113" s="6" t="s">
        <v>1037</v>
      </c>
      <c r="L113" s="9" t="s">
        <v>25</v>
      </c>
      <c r="M113" s="6" t="s">
        <v>1038</v>
      </c>
      <c r="N113" s="6" t="s">
        <v>1039</v>
      </c>
      <c r="O113" s="10" t="s">
        <v>1040</v>
      </c>
    </row>
    <row r="114">
      <c r="A114" s="3">
        <v>107.0</v>
      </c>
      <c r="B114" s="12"/>
      <c r="C114" s="12"/>
      <c r="D114" s="6" t="s">
        <v>892</v>
      </c>
      <c r="E114" s="7" t="s">
        <v>1041</v>
      </c>
      <c r="F114" s="6" t="s">
        <v>1042</v>
      </c>
      <c r="G114" s="8" t="s">
        <v>1043</v>
      </c>
      <c r="H114" s="6" t="s">
        <v>1044</v>
      </c>
      <c r="I114" s="6" t="s">
        <v>1045</v>
      </c>
      <c r="J114" s="6" t="s">
        <v>1046</v>
      </c>
      <c r="K114" s="6" t="s">
        <v>1047</v>
      </c>
      <c r="L114" s="13" t="s">
        <v>45</v>
      </c>
      <c r="M114" s="6" t="s">
        <v>618</v>
      </c>
      <c r="N114" s="6" t="s">
        <v>1048</v>
      </c>
      <c r="O114" s="10" t="s">
        <v>1049</v>
      </c>
    </row>
    <row r="115">
      <c r="A115" s="11">
        <v>108.0</v>
      </c>
      <c r="B115" s="12"/>
      <c r="C115" s="12"/>
      <c r="D115" s="6" t="s">
        <v>892</v>
      </c>
      <c r="E115" s="7" t="s">
        <v>1050</v>
      </c>
      <c r="F115" s="6" t="s">
        <v>1051</v>
      </c>
      <c r="G115" s="8" t="s">
        <v>1052</v>
      </c>
      <c r="H115" s="6" t="s">
        <v>1053</v>
      </c>
      <c r="I115" s="6" t="s">
        <v>1054</v>
      </c>
      <c r="J115" s="6" t="s">
        <v>1055</v>
      </c>
      <c r="K115" s="6" t="s">
        <v>1056</v>
      </c>
      <c r="L115" s="9" t="s">
        <v>25</v>
      </c>
      <c r="M115" s="6" t="s">
        <v>1057</v>
      </c>
      <c r="N115" s="6" t="s">
        <v>1058</v>
      </c>
      <c r="O115" s="10" t="s">
        <v>1059</v>
      </c>
    </row>
    <row r="116">
      <c r="A116" s="3">
        <v>109.0</v>
      </c>
      <c r="B116" s="12"/>
      <c r="C116" s="12"/>
      <c r="D116" s="6" t="s">
        <v>892</v>
      </c>
      <c r="E116" s="7" t="s">
        <v>1060</v>
      </c>
      <c r="F116" s="6" t="s">
        <v>1061</v>
      </c>
      <c r="G116" s="8" t="s">
        <v>1062</v>
      </c>
      <c r="H116" s="6" t="s">
        <v>1063</v>
      </c>
      <c r="I116" s="6" t="s">
        <v>1064</v>
      </c>
      <c r="J116" s="6" t="s">
        <v>1065</v>
      </c>
      <c r="K116" s="6" t="s">
        <v>1066</v>
      </c>
      <c r="L116" s="9" t="s">
        <v>25</v>
      </c>
      <c r="M116" s="6" t="s">
        <v>55</v>
      </c>
      <c r="N116" s="6" t="s">
        <v>934</v>
      </c>
      <c r="O116" s="10" t="s">
        <v>1067</v>
      </c>
    </row>
    <row r="117">
      <c r="A117" s="11">
        <v>110.0</v>
      </c>
      <c r="B117" s="12"/>
      <c r="C117" s="12"/>
      <c r="D117" s="6" t="s">
        <v>892</v>
      </c>
      <c r="E117" s="7" t="s">
        <v>1068</v>
      </c>
      <c r="F117" s="6" t="s">
        <v>1069</v>
      </c>
      <c r="G117" s="8" t="s">
        <v>1070</v>
      </c>
      <c r="H117" s="6" t="s">
        <v>1071</v>
      </c>
      <c r="I117" s="6" t="s">
        <v>1072</v>
      </c>
      <c r="J117" s="6" t="s">
        <v>1073</v>
      </c>
      <c r="K117" s="6" t="s">
        <v>1074</v>
      </c>
      <c r="L117" s="9" t="s">
        <v>25</v>
      </c>
      <c r="M117" s="6" t="s">
        <v>55</v>
      </c>
      <c r="N117" s="6" t="s">
        <v>1075</v>
      </c>
      <c r="O117" s="10" t="s">
        <v>1076</v>
      </c>
    </row>
    <row r="118">
      <c r="A118" s="3">
        <v>111.0</v>
      </c>
      <c r="B118" s="12"/>
      <c r="C118" s="12"/>
      <c r="D118" s="6" t="s">
        <v>892</v>
      </c>
      <c r="E118" s="7" t="s">
        <v>1077</v>
      </c>
      <c r="F118" s="6" t="s">
        <v>1078</v>
      </c>
      <c r="G118" s="8" t="s">
        <v>1079</v>
      </c>
      <c r="H118" s="6" t="s">
        <v>1080</v>
      </c>
      <c r="I118" s="6" t="s">
        <v>1081</v>
      </c>
      <c r="J118" s="6" t="s">
        <v>1082</v>
      </c>
      <c r="K118" s="6" t="s">
        <v>1083</v>
      </c>
      <c r="L118" s="9" t="s">
        <v>25</v>
      </c>
      <c r="M118" s="6" t="s">
        <v>1084</v>
      </c>
      <c r="N118" s="6" t="s">
        <v>1085</v>
      </c>
      <c r="O118" s="10" t="s">
        <v>1086</v>
      </c>
    </row>
    <row r="119">
      <c r="A119" s="11">
        <v>112.0</v>
      </c>
      <c r="B119" s="12"/>
      <c r="C119" s="12"/>
      <c r="D119" s="6" t="s">
        <v>892</v>
      </c>
      <c r="E119" s="7" t="s">
        <v>1087</v>
      </c>
      <c r="F119" s="6" t="s">
        <v>1088</v>
      </c>
      <c r="G119" s="8" t="s">
        <v>1089</v>
      </c>
      <c r="H119" s="6" t="s">
        <v>1090</v>
      </c>
      <c r="I119" s="6" t="s">
        <v>1091</v>
      </c>
      <c r="J119" s="6" t="s">
        <v>1092</v>
      </c>
      <c r="K119" s="6" t="s">
        <v>1093</v>
      </c>
      <c r="L119" s="9" t="s">
        <v>25</v>
      </c>
      <c r="M119" s="6" t="s">
        <v>1094</v>
      </c>
      <c r="N119" s="6" t="s">
        <v>1095</v>
      </c>
      <c r="O119" s="10" t="s">
        <v>804</v>
      </c>
    </row>
    <row r="120">
      <c r="A120" s="3">
        <v>113.0</v>
      </c>
      <c r="B120" s="12"/>
      <c r="C120" s="12"/>
      <c r="D120" s="6" t="s">
        <v>892</v>
      </c>
      <c r="E120" s="7" t="s">
        <v>1096</v>
      </c>
      <c r="F120" s="6" t="s">
        <v>1097</v>
      </c>
      <c r="G120" s="8" t="s">
        <v>1098</v>
      </c>
      <c r="H120" s="6" t="s">
        <v>1099</v>
      </c>
      <c r="I120" s="6" t="s">
        <v>1100</v>
      </c>
      <c r="J120" s="6" t="s">
        <v>1101</v>
      </c>
      <c r="K120" s="6" t="s">
        <v>1102</v>
      </c>
      <c r="L120" s="9" t="s">
        <v>25</v>
      </c>
      <c r="M120" s="6" t="s">
        <v>1103</v>
      </c>
      <c r="N120" s="6" t="s">
        <v>1104</v>
      </c>
      <c r="O120" s="10" t="s">
        <v>67</v>
      </c>
    </row>
    <row r="121">
      <c r="A121" s="11">
        <v>114.0</v>
      </c>
      <c r="B121" s="12"/>
      <c r="C121" s="12"/>
      <c r="D121" s="6" t="s">
        <v>892</v>
      </c>
      <c r="E121" s="7" t="s">
        <v>1105</v>
      </c>
      <c r="F121" s="6" t="s">
        <v>1106</v>
      </c>
      <c r="G121" s="8" t="s">
        <v>1107</v>
      </c>
      <c r="H121" s="6" t="s">
        <v>1108</v>
      </c>
      <c r="I121" s="6" t="s">
        <v>691</v>
      </c>
      <c r="J121" s="6" t="s">
        <v>692</v>
      </c>
      <c r="K121" s="6" t="s">
        <v>693</v>
      </c>
      <c r="L121" s="9" t="s">
        <v>25</v>
      </c>
      <c r="M121" s="6" t="s">
        <v>933</v>
      </c>
      <c r="N121" s="6" t="s">
        <v>934</v>
      </c>
      <c r="O121" s="10" t="s">
        <v>935</v>
      </c>
    </row>
    <row r="122">
      <c r="A122" s="3">
        <v>115.0</v>
      </c>
      <c r="B122" s="12"/>
      <c r="C122" s="12"/>
      <c r="D122" s="6" t="s">
        <v>892</v>
      </c>
      <c r="E122" s="7" t="s">
        <v>1109</v>
      </c>
      <c r="F122" s="6" t="s">
        <v>1110</v>
      </c>
      <c r="G122" s="8" t="s">
        <v>1111</v>
      </c>
      <c r="H122" s="6" t="s">
        <v>1112</v>
      </c>
      <c r="I122" s="6" t="s">
        <v>1113</v>
      </c>
      <c r="J122" s="6" t="s">
        <v>1114</v>
      </c>
      <c r="K122" s="6" t="s">
        <v>1115</v>
      </c>
      <c r="L122" s="9" t="s">
        <v>25</v>
      </c>
      <c r="M122" s="6" t="s">
        <v>1103</v>
      </c>
      <c r="N122" s="6" t="s">
        <v>1104</v>
      </c>
      <c r="O122" s="10" t="s">
        <v>67</v>
      </c>
    </row>
    <row r="123">
      <c r="A123" s="11">
        <v>116.0</v>
      </c>
      <c r="B123" s="12"/>
      <c r="C123" s="15"/>
      <c r="D123" s="6" t="s">
        <v>892</v>
      </c>
      <c r="E123" s="7" t="s">
        <v>1116</v>
      </c>
      <c r="F123" s="6" t="s">
        <v>1117</v>
      </c>
      <c r="G123" s="8" t="s">
        <v>954</v>
      </c>
      <c r="H123" s="6" t="s">
        <v>955</v>
      </c>
      <c r="I123" s="6" t="s">
        <v>691</v>
      </c>
      <c r="J123" s="6" t="s">
        <v>692</v>
      </c>
      <c r="K123" s="6" t="s">
        <v>693</v>
      </c>
      <c r="L123" s="13" t="s">
        <v>45</v>
      </c>
      <c r="M123" s="6" t="s">
        <v>933</v>
      </c>
      <c r="N123" s="6" t="s">
        <v>934</v>
      </c>
      <c r="O123" s="10" t="s">
        <v>935</v>
      </c>
    </row>
    <row r="124">
      <c r="A124" s="3">
        <v>117.0</v>
      </c>
      <c r="B124" s="12"/>
      <c r="C124" s="5" t="s">
        <v>1118</v>
      </c>
      <c r="D124" s="6" t="s">
        <v>851</v>
      </c>
      <c r="E124" s="7" t="s">
        <v>1119</v>
      </c>
      <c r="F124" s="6" t="s">
        <v>1120</v>
      </c>
      <c r="G124" s="8" t="s">
        <v>1121</v>
      </c>
      <c r="H124" s="6" t="s">
        <v>1122</v>
      </c>
      <c r="I124" s="6" t="s">
        <v>1123</v>
      </c>
      <c r="J124" s="6" t="s">
        <v>1124</v>
      </c>
      <c r="K124" s="6" t="s">
        <v>1125</v>
      </c>
      <c r="L124" s="14" t="s">
        <v>54</v>
      </c>
      <c r="M124" s="6" t="s">
        <v>869</v>
      </c>
      <c r="N124" s="6" t="s">
        <v>1126</v>
      </c>
      <c r="O124" s="10" t="s">
        <v>57</v>
      </c>
    </row>
    <row r="125">
      <c r="A125" s="11">
        <v>118.0</v>
      </c>
      <c r="B125" s="12"/>
      <c r="C125" s="15"/>
      <c r="D125" s="6" t="s">
        <v>851</v>
      </c>
      <c r="E125" s="7" t="s">
        <v>1127</v>
      </c>
      <c r="F125" s="6" t="s">
        <v>1128</v>
      </c>
      <c r="G125" s="8" t="s">
        <v>1129</v>
      </c>
      <c r="H125" s="6" t="s">
        <v>1130</v>
      </c>
      <c r="I125" s="6" t="s">
        <v>1131</v>
      </c>
      <c r="J125" s="6" t="s">
        <v>1132</v>
      </c>
      <c r="K125" s="6" t="s">
        <v>1133</v>
      </c>
      <c r="L125" s="14" t="s">
        <v>54</v>
      </c>
      <c r="M125" s="6" t="s">
        <v>1134</v>
      </c>
      <c r="N125" s="6" t="s">
        <v>1135</v>
      </c>
      <c r="O125" s="10" t="s">
        <v>960</v>
      </c>
    </row>
    <row r="126">
      <c r="A126" s="3">
        <v>119.0</v>
      </c>
      <c r="B126" s="12"/>
      <c r="C126" s="22" t="s">
        <v>1136</v>
      </c>
      <c r="D126" s="6" t="s">
        <v>1137</v>
      </c>
      <c r="E126" s="7" t="s">
        <v>1138</v>
      </c>
      <c r="F126" s="6" t="s">
        <v>1139</v>
      </c>
      <c r="G126" s="8" t="s">
        <v>1140</v>
      </c>
      <c r="H126" s="6" t="s">
        <v>1141</v>
      </c>
      <c r="I126" s="6" t="s">
        <v>1142</v>
      </c>
      <c r="J126" s="6" t="s">
        <v>1143</v>
      </c>
      <c r="K126" s="6" t="s">
        <v>1144</v>
      </c>
      <c r="L126" s="9" t="s">
        <v>25</v>
      </c>
      <c r="M126" s="6" t="s">
        <v>1145</v>
      </c>
      <c r="N126" s="6" t="s">
        <v>1146</v>
      </c>
      <c r="O126" s="10" t="s">
        <v>1147</v>
      </c>
    </row>
    <row r="127">
      <c r="A127" s="11">
        <v>120.0</v>
      </c>
      <c r="B127" s="12"/>
      <c r="C127" s="16" t="s">
        <v>1148</v>
      </c>
      <c r="D127" s="6" t="s">
        <v>892</v>
      </c>
      <c r="E127" s="7" t="s">
        <v>1149</v>
      </c>
      <c r="F127" s="6" t="s">
        <v>1150</v>
      </c>
      <c r="G127" s="8" t="s">
        <v>1151</v>
      </c>
      <c r="H127" s="6" t="s">
        <v>1152</v>
      </c>
      <c r="I127" s="6" t="s">
        <v>1153</v>
      </c>
      <c r="J127" s="6" t="s">
        <v>1154</v>
      </c>
      <c r="K127" s="6" t="s">
        <v>1155</v>
      </c>
      <c r="L127" s="14" t="s">
        <v>54</v>
      </c>
      <c r="M127" s="6" t="s">
        <v>1156</v>
      </c>
      <c r="N127" s="6" t="s">
        <v>1157</v>
      </c>
      <c r="O127" s="10" t="s">
        <v>1158</v>
      </c>
    </row>
    <row r="128">
      <c r="A128" s="3">
        <v>121.0</v>
      </c>
      <c r="B128" s="12"/>
      <c r="C128" s="12"/>
      <c r="D128" s="6" t="s">
        <v>892</v>
      </c>
      <c r="E128" s="7" t="s">
        <v>1159</v>
      </c>
      <c r="F128" s="6" t="s">
        <v>1160</v>
      </c>
      <c r="G128" s="8" t="s">
        <v>1161</v>
      </c>
      <c r="H128" s="6" t="s">
        <v>1162</v>
      </c>
      <c r="I128" s="6" t="s">
        <v>1163</v>
      </c>
      <c r="J128" s="6" t="s">
        <v>1164</v>
      </c>
      <c r="K128" s="6" t="s">
        <v>1165</v>
      </c>
      <c r="L128" s="9" t="s">
        <v>25</v>
      </c>
      <c r="M128" s="6" t="s">
        <v>618</v>
      </c>
      <c r="N128" s="6" t="s">
        <v>1166</v>
      </c>
      <c r="O128" s="10" t="s">
        <v>1167</v>
      </c>
    </row>
    <row r="129">
      <c r="A129" s="11">
        <v>122.0</v>
      </c>
      <c r="B129" s="12"/>
      <c r="C129" s="12"/>
      <c r="D129" s="6" t="s">
        <v>892</v>
      </c>
      <c r="E129" s="7" t="s">
        <v>1168</v>
      </c>
      <c r="F129" s="6" t="s">
        <v>1169</v>
      </c>
      <c r="G129" s="8" t="s">
        <v>1170</v>
      </c>
      <c r="H129" s="6" t="s">
        <v>1171</v>
      </c>
      <c r="I129" s="6" t="s">
        <v>1172</v>
      </c>
      <c r="J129" s="6" t="s">
        <v>1173</v>
      </c>
      <c r="K129" s="6" t="s">
        <v>1174</v>
      </c>
      <c r="L129" s="14" t="s">
        <v>54</v>
      </c>
      <c r="M129" s="6" t="s">
        <v>55</v>
      </c>
      <c r="N129" s="6" t="s">
        <v>1175</v>
      </c>
      <c r="O129" s="10" t="s">
        <v>1176</v>
      </c>
    </row>
    <row r="130">
      <c r="A130" s="3">
        <v>123.0</v>
      </c>
      <c r="B130" s="12"/>
      <c r="C130" s="15"/>
      <c r="D130" s="6" t="s">
        <v>892</v>
      </c>
      <c r="E130" s="7" t="s">
        <v>1177</v>
      </c>
      <c r="F130" s="6" t="s">
        <v>1178</v>
      </c>
      <c r="G130" s="8" t="s">
        <v>1179</v>
      </c>
      <c r="H130" s="6" t="s">
        <v>1180</v>
      </c>
      <c r="I130" s="6" t="s">
        <v>1181</v>
      </c>
      <c r="J130" s="6" t="s">
        <v>1182</v>
      </c>
      <c r="K130" s="6" t="s">
        <v>1183</v>
      </c>
      <c r="L130" s="9" t="s">
        <v>25</v>
      </c>
      <c r="M130" s="6" t="s">
        <v>55</v>
      </c>
      <c r="N130" s="6" t="s">
        <v>1184</v>
      </c>
      <c r="O130" s="10" t="s">
        <v>1185</v>
      </c>
    </row>
    <row r="131">
      <c r="A131" s="11">
        <v>124.0</v>
      </c>
      <c r="B131" s="12"/>
      <c r="C131" s="16" t="s">
        <v>1186</v>
      </c>
      <c r="D131" s="6" t="s">
        <v>1187</v>
      </c>
      <c r="E131" s="7" t="s">
        <v>1188</v>
      </c>
      <c r="F131" s="6" t="s">
        <v>1189</v>
      </c>
      <c r="G131" s="8" t="s">
        <v>1190</v>
      </c>
      <c r="H131" s="6" t="s">
        <v>1191</v>
      </c>
      <c r="I131" s="6" t="s">
        <v>1192</v>
      </c>
      <c r="J131" s="6" t="s">
        <v>1193</v>
      </c>
      <c r="K131" s="6" t="s">
        <v>1194</v>
      </c>
      <c r="L131" s="13" t="s">
        <v>45</v>
      </c>
      <c r="M131" s="6" t="s">
        <v>1195</v>
      </c>
      <c r="N131" s="6" t="s">
        <v>1196</v>
      </c>
      <c r="O131" s="10" t="s">
        <v>1000</v>
      </c>
    </row>
    <row r="132">
      <c r="A132" s="3">
        <v>125.0</v>
      </c>
      <c r="B132" s="12"/>
      <c r="C132" s="12"/>
      <c r="D132" s="6" t="s">
        <v>1187</v>
      </c>
      <c r="E132" s="7" t="s">
        <v>1197</v>
      </c>
      <c r="F132" s="6" t="s">
        <v>1198</v>
      </c>
      <c r="G132" s="8" t="s">
        <v>1199</v>
      </c>
      <c r="H132" s="6" t="s">
        <v>1200</v>
      </c>
      <c r="I132" s="6" t="s">
        <v>1201</v>
      </c>
      <c r="J132" s="6" t="s">
        <v>1202</v>
      </c>
      <c r="K132" s="6" t="s">
        <v>1203</v>
      </c>
      <c r="L132" s="13" t="s">
        <v>45</v>
      </c>
      <c r="M132" s="6" t="s">
        <v>1195</v>
      </c>
      <c r="N132" s="6" t="s">
        <v>1204</v>
      </c>
      <c r="O132" s="10" t="s">
        <v>159</v>
      </c>
    </row>
    <row r="133">
      <c r="A133" s="11">
        <v>126.0</v>
      </c>
      <c r="B133" s="12"/>
      <c r="C133" s="15"/>
      <c r="D133" s="6" t="s">
        <v>1187</v>
      </c>
      <c r="E133" s="7" t="s">
        <v>1205</v>
      </c>
      <c r="F133" s="6" t="s">
        <v>1206</v>
      </c>
      <c r="G133" s="8" t="s">
        <v>1207</v>
      </c>
      <c r="H133" s="6" t="s">
        <v>1208</v>
      </c>
      <c r="I133" s="6" t="s">
        <v>1209</v>
      </c>
      <c r="J133" s="6" t="s">
        <v>1210</v>
      </c>
      <c r="K133" s="6" t="s">
        <v>1211</v>
      </c>
      <c r="L133" s="9" t="s">
        <v>25</v>
      </c>
      <c r="M133" s="6" t="s">
        <v>1212</v>
      </c>
      <c r="N133" s="6" t="s">
        <v>1213</v>
      </c>
      <c r="O133" s="10" t="s">
        <v>1000</v>
      </c>
    </row>
    <row r="134">
      <c r="A134" s="3">
        <v>127.0</v>
      </c>
      <c r="B134" s="12"/>
      <c r="C134" s="5" t="s">
        <v>1148</v>
      </c>
      <c r="D134" s="6" t="s">
        <v>892</v>
      </c>
      <c r="E134" s="7" t="s">
        <v>1214</v>
      </c>
      <c r="F134" s="6" t="s">
        <v>1215</v>
      </c>
      <c r="G134" s="8" t="s">
        <v>1216</v>
      </c>
      <c r="H134" s="6" t="s">
        <v>1217</v>
      </c>
      <c r="I134" s="6" t="s">
        <v>691</v>
      </c>
      <c r="J134" s="6" t="s">
        <v>692</v>
      </c>
      <c r="K134" s="6" t="s">
        <v>693</v>
      </c>
      <c r="L134" s="13" t="s">
        <v>45</v>
      </c>
      <c r="M134" s="6" t="s">
        <v>933</v>
      </c>
      <c r="N134" s="6" t="s">
        <v>934</v>
      </c>
      <c r="O134" s="10" t="s">
        <v>935</v>
      </c>
    </row>
    <row r="135">
      <c r="A135" s="11">
        <v>128.0</v>
      </c>
      <c r="B135" s="12"/>
      <c r="C135" s="15"/>
      <c r="D135" s="6" t="s">
        <v>892</v>
      </c>
      <c r="E135" s="7" t="s">
        <v>1218</v>
      </c>
      <c r="F135" s="6" t="s">
        <v>1219</v>
      </c>
      <c r="G135" s="8" t="s">
        <v>1220</v>
      </c>
      <c r="H135" s="6" t="s">
        <v>1221</v>
      </c>
      <c r="I135" s="6" t="s">
        <v>691</v>
      </c>
      <c r="J135" s="6" t="s">
        <v>692</v>
      </c>
      <c r="K135" s="6" t="s">
        <v>693</v>
      </c>
      <c r="L135" s="13" t="s">
        <v>45</v>
      </c>
      <c r="M135" s="6" t="s">
        <v>933</v>
      </c>
      <c r="N135" s="6" t="s">
        <v>934</v>
      </c>
      <c r="O135" s="10" t="s">
        <v>935</v>
      </c>
    </row>
    <row r="136">
      <c r="A136" s="3">
        <v>129.0</v>
      </c>
      <c r="B136" s="12"/>
      <c r="C136" s="5" t="s">
        <v>1222</v>
      </c>
      <c r="D136" s="6" t="s">
        <v>1187</v>
      </c>
      <c r="E136" s="7" t="s">
        <v>1223</v>
      </c>
      <c r="F136" s="6" t="s">
        <v>1224</v>
      </c>
      <c r="G136" s="8" t="s">
        <v>1225</v>
      </c>
      <c r="H136" s="6" t="s">
        <v>1226</v>
      </c>
      <c r="I136" s="6" t="s">
        <v>1227</v>
      </c>
      <c r="J136" s="6" t="s">
        <v>1228</v>
      </c>
      <c r="K136" s="6" t="s">
        <v>1229</v>
      </c>
      <c r="L136" s="13" t="s">
        <v>45</v>
      </c>
      <c r="M136" s="6" t="s">
        <v>1230</v>
      </c>
      <c r="N136" s="6" t="s">
        <v>1231</v>
      </c>
      <c r="O136" s="10" t="s">
        <v>1147</v>
      </c>
    </row>
    <row r="137">
      <c r="A137" s="11">
        <v>130.0</v>
      </c>
      <c r="B137" s="12"/>
      <c r="C137" s="15"/>
      <c r="D137" s="6" t="s">
        <v>1232</v>
      </c>
      <c r="E137" s="7" t="s">
        <v>1233</v>
      </c>
      <c r="F137" s="6" t="s">
        <v>1234</v>
      </c>
      <c r="G137" s="8" t="s">
        <v>1235</v>
      </c>
      <c r="H137" s="6" t="s">
        <v>1236</v>
      </c>
      <c r="I137" s="6" t="s">
        <v>1237</v>
      </c>
      <c r="J137" s="6" t="s">
        <v>1238</v>
      </c>
      <c r="K137" s="6" t="s">
        <v>1239</v>
      </c>
      <c r="L137" s="9" t="s">
        <v>25</v>
      </c>
      <c r="M137" s="6" t="s">
        <v>1240</v>
      </c>
      <c r="N137" s="6" t="s">
        <v>1241</v>
      </c>
      <c r="O137" s="10" t="s">
        <v>1147</v>
      </c>
    </row>
    <row r="138">
      <c r="A138" s="3">
        <v>131.0</v>
      </c>
      <c r="B138" s="12"/>
      <c r="C138" s="5" t="s">
        <v>1242</v>
      </c>
      <c r="D138" s="6" t="s">
        <v>851</v>
      </c>
      <c r="E138" s="7" t="s">
        <v>1243</v>
      </c>
      <c r="F138" s="6" t="s">
        <v>1244</v>
      </c>
      <c r="G138" s="8" t="s">
        <v>1245</v>
      </c>
      <c r="H138" s="6" t="s">
        <v>1246</v>
      </c>
      <c r="I138" s="6" t="s">
        <v>1247</v>
      </c>
      <c r="J138" s="6" t="s">
        <v>1248</v>
      </c>
      <c r="K138" s="6" t="s">
        <v>1249</v>
      </c>
      <c r="L138" s="9" t="s">
        <v>25</v>
      </c>
      <c r="M138" s="6" t="s">
        <v>1250</v>
      </c>
      <c r="N138" s="6" t="s">
        <v>1251</v>
      </c>
      <c r="O138" s="10" t="s">
        <v>1167</v>
      </c>
    </row>
    <row r="139">
      <c r="A139" s="11">
        <v>132.0</v>
      </c>
      <c r="B139" s="12"/>
      <c r="C139" s="15"/>
      <c r="D139" s="6" t="s">
        <v>851</v>
      </c>
      <c r="E139" s="7" t="s">
        <v>1252</v>
      </c>
      <c r="F139" s="6" t="s">
        <v>1253</v>
      </c>
      <c r="G139" s="8" t="s">
        <v>1254</v>
      </c>
      <c r="H139" s="6" t="s">
        <v>1255</v>
      </c>
      <c r="I139" s="6" t="s">
        <v>1256</v>
      </c>
      <c r="J139" s="6" t="s">
        <v>1257</v>
      </c>
      <c r="K139" s="6" t="s">
        <v>1258</v>
      </c>
      <c r="L139" s="14" t="s">
        <v>54</v>
      </c>
      <c r="M139" s="6" t="s">
        <v>1250</v>
      </c>
      <c r="N139" s="6" t="s">
        <v>1259</v>
      </c>
      <c r="O139" s="10" t="s">
        <v>1167</v>
      </c>
    </row>
    <row r="140">
      <c r="A140" s="3">
        <v>133.0</v>
      </c>
      <c r="B140" s="12"/>
      <c r="C140" s="22" t="s">
        <v>1260</v>
      </c>
      <c r="D140" s="6" t="s">
        <v>1187</v>
      </c>
      <c r="E140" s="7" t="s">
        <v>47</v>
      </c>
      <c r="F140" s="6" t="s">
        <v>1261</v>
      </c>
      <c r="G140" s="8" t="s">
        <v>1262</v>
      </c>
      <c r="H140" s="6" t="s">
        <v>1263</v>
      </c>
      <c r="I140" s="6" t="s">
        <v>1264</v>
      </c>
      <c r="J140" s="6" t="s">
        <v>1265</v>
      </c>
      <c r="K140" s="6" t="s">
        <v>1266</v>
      </c>
      <c r="L140" s="14" t="s">
        <v>54</v>
      </c>
      <c r="M140" s="6" t="s">
        <v>1267</v>
      </c>
      <c r="N140" s="6" t="s">
        <v>1268</v>
      </c>
      <c r="O140" s="10" t="s">
        <v>871</v>
      </c>
    </row>
    <row r="141">
      <c r="A141" s="11">
        <v>134.0</v>
      </c>
      <c r="B141" s="12"/>
      <c r="C141" s="16" t="s">
        <v>1269</v>
      </c>
      <c r="D141" s="6" t="s">
        <v>1270</v>
      </c>
      <c r="E141" s="7" t="s">
        <v>1087</v>
      </c>
      <c r="F141" s="6" t="s">
        <v>1271</v>
      </c>
      <c r="G141" s="8" t="s">
        <v>1272</v>
      </c>
      <c r="H141" s="6" t="s">
        <v>1273</v>
      </c>
      <c r="I141" s="6" t="s">
        <v>1274</v>
      </c>
      <c r="J141" s="6" t="s">
        <v>1275</v>
      </c>
      <c r="K141" s="6" t="s">
        <v>1276</v>
      </c>
      <c r="L141" s="13" t="s">
        <v>45</v>
      </c>
      <c r="M141" s="6" t="s">
        <v>1277</v>
      </c>
      <c r="N141" s="6" t="s">
        <v>1278</v>
      </c>
      <c r="O141" s="10" t="s">
        <v>1279</v>
      </c>
    </row>
    <row r="142">
      <c r="A142" s="3">
        <v>135.0</v>
      </c>
      <c r="B142" s="12"/>
      <c r="C142" s="12"/>
      <c r="D142" s="6" t="s">
        <v>1232</v>
      </c>
      <c r="E142" s="7" t="s">
        <v>1280</v>
      </c>
      <c r="F142" s="6" t="s">
        <v>1281</v>
      </c>
      <c r="G142" s="8" t="s">
        <v>1282</v>
      </c>
      <c r="H142" s="6" t="s">
        <v>1283</v>
      </c>
      <c r="I142" s="6" t="s">
        <v>1284</v>
      </c>
      <c r="J142" s="6" t="s">
        <v>1285</v>
      </c>
      <c r="K142" s="6" t="s">
        <v>1286</v>
      </c>
      <c r="L142" s="13" t="s">
        <v>45</v>
      </c>
      <c r="M142" s="6" t="s">
        <v>1287</v>
      </c>
      <c r="N142" s="6" t="s">
        <v>1288</v>
      </c>
      <c r="O142" s="10" t="s">
        <v>1289</v>
      </c>
    </row>
    <row r="143">
      <c r="A143" s="11">
        <v>136.0</v>
      </c>
      <c r="B143" s="12"/>
      <c r="C143" s="12"/>
      <c r="D143" s="6" t="s">
        <v>1137</v>
      </c>
      <c r="E143" s="7" t="s">
        <v>1290</v>
      </c>
      <c r="F143" s="6" t="s">
        <v>1291</v>
      </c>
      <c r="G143" s="8" t="s">
        <v>1292</v>
      </c>
      <c r="H143" s="6" t="s">
        <v>1293</v>
      </c>
      <c r="I143" s="6" t="s">
        <v>1294</v>
      </c>
      <c r="J143" s="6" t="s">
        <v>1295</v>
      </c>
      <c r="K143" s="6" t="s">
        <v>1296</v>
      </c>
      <c r="L143" s="9" t="s">
        <v>25</v>
      </c>
      <c r="M143" s="6" t="s">
        <v>1297</v>
      </c>
      <c r="N143" s="6" t="s">
        <v>1298</v>
      </c>
      <c r="O143" s="10" t="s">
        <v>1185</v>
      </c>
    </row>
    <row r="144">
      <c r="A144" s="3">
        <v>137.0</v>
      </c>
      <c r="B144" s="15"/>
      <c r="C144" s="15"/>
      <c r="D144" s="6" t="s">
        <v>1232</v>
      </c>
      <c r="E144" s="7" t="s">
        <v>1299</v>
      </c>
      <c r="F144" s="6" t="s">
        <v>1300</v>
      </c>
      <c r="G144" s="8" t="s">
        <v>1301</v>
      </c>
      <c r="H144" s="6" t="s">
        <v>1302</v>
      </c>
      <c r="I144" s="6" t="s">
        <v>1303</v>
      </c>
      <c r="J144" s="6" t="s">
        <v>1304</v>
      </c>
      <c r="K144" s="6" t="s">
        <v>1305</v>
      </c>
      <c r="L144" s="9" t="s">
        <v>25</v>
      </c>
      <c r="M144" s="6" t="s">
        <v>1306</v>
      </c>
      <c r="N144" s="6" t="s">
        <v>1307</v>
      </c>
      <c r="O144" s="10" t="s">
        <v>1308</v>
      </c>
    </row>
    <row r="145">
      <c r="A145" s="11">
        <v>138.0</v>
      </c>
      <c r="B145" s="23" t="s">
        <v>1309</v>
      </c>
      <c r="C145" s="16" t="s">
        <v>1310</v>
      </c>
      <c r="D145" s="6" t="s">
        <v>1311</v>
      </c>
      <c r="E145" s="7" t="s">
        <v>1312</v>
      </c>
      <c r="F145" s="6" t="s">
        <v>1313</v>
      </c>
      <c r="G145" s="8" t="s">
        <v>1314</v>
      </c>
      <c r="H145" s="6" t="s">
        <v>1315</v>
      </c>
      <c r="I145" s="6" t="s">
        <v>1316</v>
      </c>
      <c r="J145" s="6" t="s">
        <v>1317</v>
      </c>
      <c r="K145" s="6" t="s">
        <v>1318</v>
      </c>
      <c r="L145" s="13" t="s">
        <v>45</v>
      </c>
      <c r="M145" s="6" t="s">
        <v>1319</v>
      </c>
      <c r="N145" s="6" t="s">
        <v>1320</v>
      </c>
      <c r="O145" s="10" t="s">
        <v>1321</v>
      </c>
    </row>
    <row r="146">
      <c r="A146" s="3">
        <v>139.0</v>
      </c>
      <c r="B146" s="12"/>
      <c r="C146" s="12"/>
      <c r="D146" s="6" t="s">
        <v>1311</v>
      </c>
      <c r="E146" s="7" t="s">
        <v>1322</v>
      </c>
      <c r="F146" s="6" t="s">
        <v>1323</v>
      </c>
      <c r="G146" s="8" t="s">
        <v>1324</v>
      </c>
      <c r="H146" s="6" t="s">
        <v>1325</v>
      </c>
      <c r="I146" s="6" t="s">
        <v>1326</v>
      </c>
      <c r="J146" s="6" t="s">
        <v>1327</v>
      </c>
      <c r="K146" s="6" t="s">
        <v>1328</v>
      </c>
      <c r="L146" s="13" t="s">
        <v>45</v>
      </c>
      <c r="M146" s="6" t="s">
        <v>1329</v>
      </c>
      <c r="N146" s="6" t="s">
        <v>1330</v>
      </c>
      <c r="O146" s="10" t="s">
        <v>1331</v>
      </c>
    </row>
    <row r="147">
      <c r="A147" s="11">
        <v>140.0</v>
      </c>
      <c r="B147" s="12"/>
      <c r="C147" s="12"/>
      <c r="D147" s="6" t="s">
        <v>1311</v>
      </c>
      <c r="E147" s="7" t="s">
        <v>1332</v>
      </c>
      <c r="F147" s="6" t="s">
        <v>1333</v>
      </c>
      <c r="G147" s="8" t="s">
        <v>1334</v>
      </c>
      <c r="H147" s="6" t="s">
        <v>1335</v>
      </c>
      <c r="I147" s="6" t="s">
        <v>1336</v>
      </c>
      <c r="J147" s="6" t="s">
        <v>1337</v>
      </c>
      <c r="K147" s="6" t="s">
        <v>1338</v>
      </c>
      <c r="L147" s="13" t="s">
        <v>45</v>
      </c>
      <c r="M147" s="6" t="s">
        <v>1339</v>
      </c>
      <c r="N147" s="6" t="s">
        <v>1340</v>
      </c>
      <c r="O147" s="10" t="s">
        <v>1020</v>
      </c>
    </row>
    <row r="148">
      <c r="A148" s="3">
        <v>141.0</v>
      </c>
      <c r="B148" s="12"/>
      <c r="C148" s="15"/>
      <c r="D148" s="6" t="s">
        <v>1311</v>
      </c>
      <c r="E148" s="7" t="s">
        <v>1341</v>
      </c>
      <c r="F148" s="6" t="s">
        <v>1342</v>
      </c>
      <c r="G148" s="8" t="s">
        <v>1343</v>
      </c>
      <c r="H148" s="6" t="s">
        <v>1344</v>
      </c>
      <c r="I148" s="6" t="s">
        <v>1345</v>
      </c>
      <c r="J148" s="6" t="s">
        <v>1346</v>
      </c>
      <c r="K148" s="6" t="s">
        <v>1347</v>
      </c>
      <c r="L148" s="9" t="s">
        <v>25</v>
      </c>
      <c r="M148" s="6" t="s">
        <v>1348</v>
      </c>
      <c r="N148" s="6" t="s">
        <v>1349</v>
      </c>
      <c r="O148" s="10" t="s">
        <v>1020</v>
      </c>
    </row>
    <row r="149">
      <c r="A149" s="11">
        <v>142.0</v>
      </c>
      <c r="B149" s="12"/>
      <c r="C149" s="19" t="s">
        <v>1350</v>
      </c>
      <c r="D149" s="6" t="s">
        <v>1311</v>
      </c>
      <c r="E149" s="7" t="s">
        <v>1351</v>
      </c>
      <c r="F149" s="6" t="s">
        <v>1352</v>
      </c>
      <c r="G149" s="8" t="s">
        <v>1353</v>
      </c>
      <c r="H149" s="6" t="s">
        <v>1354</v>
      </c>
      <c r="I149" s="6" t="s">
        <v>1355</v>
      </c>
      <c r="J149" s="6" t="s">
        <v>1356</v>
      </c>
      <c r="K149" s="6" t="s">
        <v>1357</v>
      </c>
      <c r="L149" s="9" t="s">
        <v>25</v>
      </c>
      <c r="M149" s="6" t="s">
        <v>1358</v>
      </c>
      <c r="N149" s="6" t="s">
        <v>1359</v>
      </c>
      <c r="O149" s="10" t="s">
        <v>1360</v>
      </c>
    </row>
    <row r="150">
      <c r="A150" s="3">
        <v>143.0</v>
      </c>
      <c r="B150" s="12"/>
      <c r="C150" s="5" t="s">
        <v>1361</v>
      </c>
      <c r="D150" s="6" t="s">
        <v>1311</v>
      </c>
      <c r="E150" s="7" t="s">
        <v>1362</v>
      </c>
      <c r="F150" s="6" t="s">
        <v>1363</v>
      </c>
      <c r="G150" s="8" t="s">
        <v>1364</v>
      </c>
      <c r="H150" s="6" t="s">
        <v>1365</v>
      </c>
      <c r="I150" s="6" t="s">
        <v>1366</v>
      </c>
      <c r="J150" s="6" t="s">
        <v>1367</v>
      </c>
      <c r="K150" s="6" t="s">
        <v>1368</v>
      </c>
      <c r="L150" s="9" t="s">
        <v>25</v>
      </c>
      <c r="M150" s="6" t="s">
        <v>1319</v>
      </c>
      <c r="N150" s="6" t="s">
        <v>1369</v>
      </c>
      <c r="O150" s="10" t="s">
        <v>1020</v>
      </c>
    </row>
    <row r="151">
      <c r="A151" s="11">
        <v>144.0</v>
      </c>
      <c r="B151" s="12"/>
      <c r="C151" s="12"/>
      <c r="D151" s="6" t="s">
        <v>1311</v>
      </c>
      <c r="E151" s="7" t="s">
        <v>1370</v>
      </c>
      <c r="F151" s="6" t="s">
        <v>1371</v>
      </c>
      <c r="G151" s="8" t="s">
        <v>1372</v>
      </c>
      <c r="H151" s="6" t="s">
        <v>1373</v>
      </c>
      <c r="I151" s="6" t="s">
        <v>1374</v>
      </c>
      <c r="J151" s="6" t="s">
        <v>1375</v>
      </c>
      <c r="K151" s="6" t="s">
        <v>1376</v>
      </c>
      <c r="L151" s="13" t="s">
        <v>45</v>
      </c>
      <c r="M151" s="6" t="s">
        <v>1377</v>
      </c>
      <c r="N151" s="6" t="s">
        <v>1320</v>
      </c>
      <c r="O151" s="10" t="s">
        <v>1331</v>
      </c>
    </row>
    <row r="152">
      <c r="A152" s="3">
        <v>145.0</v>
      </c>
      <c r="B152" s="12"/>
      <c r="C152" s="12"/>
      <c r="D152" s="6" t="s">
        <v>1311</v>
      </c>
      <c r="E152" s="7" t="s">
        <v>1378</v>
      </c>
      <c r="F152" s="6" t="s">
        <v>1379</v>
      </c>
      <c r="G152" s="8" t="s">
        <v>1380</v>
      </c>
      <c r="H152" s="6" t="s">
        <v>1381</v>
      </c>
      <c r="I152" s="6" t="s">
        <v>1382</v>
      </c>
      <c r="J152" s="6" t="s">
        <v>1383</v>
      </c>
      <c r="K152" s="6" t="s">
        <v>1384</v>
      </c>
      <c r="L152" s="13" t="s">
        <v>45</v>
      </c>
      <c r="M152" s="6" t="s">
        <v>1385</v>
      </c>
      <c r="N152" s="6" t="s">
        <v>1386</v>
      </c>
      <c r="O152" s="10" t="s">
        <v>1387</v>
      </c>
    </row>
    <row r="153">
      <c r="A153" s="11">
        <v>146.0</v>
      </c>
      <c r="B153" s="12"/>
      <c r="C153" s="12"/>
      <c r="D153" s="6" t="s">
        <v>1311</v>
      </c>
      <c r="E153" s="7" t="s">
        <v>1388</v>
      </c>
      <c r="F153" s="6" t="s">
        <v>1389</v>
      </c>
      <c r="G153" s="8" t="s">
        <v>1390</v>
      </c>
      <c r="H153" s="6" t="s">
        <v>1391</v>
      </c>
      <c r="I153" s="6" t="s">
        <v>1392</v>
      </c>
      <c r="J153" s="6" t="s">
        <v>1393</v>
      </c>
      <c r="K153" s="6" t="s">
        <v>1394</v>
      </c>
      <c r="L153" s="13" t="s">
        <v>45</v>
      </c>
      <c r="M153" s="6" t="s">
        <v>1395</v>
      </c>
      <c r="N153" s="6" t="s">
        <v>1396</v>
      </c>
      <c r="O153" s="10" t="s">
        <v>1331</v>
      </c>
    </row>
    <row r="154">
      <c r="A154" s="3">
        <v>147.0</v>
      </c>
      <c r="B154" s="12"/>
      <c r="C154" s="12"/>
      <c r="D154" s="6" t="s">
        <v>1311</v>
      </c>
      <c r="E154" s="7" t="s">
        <v>1397</v>
      </c>
      <c r="F154" s="6" t="s">
        <v>1398</v>
      </c>
      <c r="G154" s="8" t="s">
        <v>1399</v>
      </c>
      <c r="H154" s="6" t="s">
        <v>1400</v>
      </c>
      <c r="I154" s="6" t="s">
        <v>1401</v>
      </c>
      <c r="J154" s="6" t="s">
        <v>1402</v>
      </c>
      <c r="K154" s="6" t="s">
        <v>1403</v>
      </c>
      <c r="L154" s="9" t="s">
        <v>25</v>
      </c>
      <c r="M154" s="6" t="s">
        <v>1404</v>
      </c>
      <c r="N154" s="6" t="s">
        <v>1320</v>
      </c>
      <c r="O154" s="10" t="s">
        <v>1331</v>
      </c>
    </row>
    <row r="155">
      <c r="A155" s="11">
        <v>148.0</v>
      </c>
      <c r="B155" s="12"/>
      <c r="C155" s="12"/>
      <c r="D155" s="6" t="s">
        <v>1311</v>
      </c>
      <c r="E155" s="7" t="s">
        <v>1405</v>
      </c>
      <c r="F155" s="6" t="s">
        <v>1406</v>
      </c>
      <c r="G155" s="8" t="s">
        <v>1407</v>
      </c>
      <c r="H155" s="6" t="s">
        <v>1408</v>
      </c>
      <c r="I155" s="6" t="s">
        <v>1409</v>
      </c>
      <c r="J155" s="6" t="s">
        <v>1410</v>
      </c>
      <c r="K155" s="6" t="s">
        <v>1411</v>
      </c>
      <c r="L155" s="14" t="s">
        <v>54</v>
      </c>
      <c r="M155" s="6" t="s">
        <v>1319</v>
      </c>
      <c r="N155" s="6" t="s">
        <v>1412</v>
      </c>
      <c r="O155" s="10" t="s">
        <v>1413</v>
      </c>
    </row>
    <row r="156">
      <c r="A156" s="3">
        <v>149.0</v>
      </c>
      <c r="B156" s="12"/>
      <c r="C156" s="12"/>
      <c r="D156" s="6" t="s">
        <v>1311</v>
      </c>
      <c r="E156" s="7" t="s">
        <v>1414</v>
      </c>
      <c r="F156" s="6" t="s">
        <v>1415</v>
      </c>
      <c r="G156" s="8" t="s">
        <v>1416</v>
      </c>
      <c r="H156" s="6" t="s">
        <v>1417</v>
      </c>
      <c r="I156" s="6" t="s">
        <v>1418</v>
      </c>
      <c r="J156" s="6" t="s">
        <v>1419</v>
      </c>
      <c r="K156" s="6" t="s">
        <v>1420</v>
      </c>
      <c r="L156" s="9" t="s">
        <v>25</v>
      </c>
      <c r="M156" s="6" t="s">
        <v>1348</v>
      </c>
      <c r="N156" s="6" t="s">
        <v>1349</v>
      </c>
      <c r="O156" s="10" t="s">
        <v>1421</v>
      </c>
    </row>
    <row r="157">
      <c r="A157" s="11">
        <v>150.0</v>
      </c>
      <c r="B157" s="12"/>
      <c r="C157" s="15"/>
      <c r="D157" s="6" t="s">
        <v>1311</v>
      </c>
      <c r="E157" s="7" t="s">
        <v>1422</v>
      </c>
      <c r="F157" s="6" t="s">
        <v>1423</v>
      </c>
      <c r="G157" s="8" t="s">
        <v>1424</v>
      </c>
      <c r="H157" s="6" t="s">
        <v>1425</v>
      </c>
      <c r="I157" s="6" t="s">
        <v>1426</v>
      </c>
      <c r="J157" s="6" t="s">
        <v>1427</v>
      </c>
      <c r="K157" s="6" t="s">
        <v>1428</v>
      </c>
      <c r="L157" s="9" t="s">
        <v>25</v>
      </c>
      <c r="M157" s="6" t="s">
        <v>1319</v>
      </c>
      <c r="N157" s="6" t="s">
        <v>1429</v>
      </c>
      <c r="O157" s="10" t="s">
        <v>1020</v>
      </c>
    </row>
    <row r="158">
      <c r="A158" s="3">
        <v>151.0</v>
      </c>
      <c r="B158" s="12"/>
      <c r="C158" s="5" t="s">
        <v>1430</v>
      </c>
      <c r="D158" s="6" t="s">
        <v>1311</v>
      </c>
      <c r="E158" s="7" t="s">
        <v>1431</v>
      </c>
      <c r="F158" s="6" t="s">
        <v>1432</v>
      </c>
      <c r="G158" s="8" t="s">
        <v>1433</v>
      </c>
      <c r="H158" s="6" t="s">
        <v>1434</v>
      </c>
      <c r="I158" s="6" t="s">
        <v>691</v>
      </c>
      <c r="J158" s="6" t="s">
        <v>692</v>
      </c>
      <c r="K158" s="6" t="s">
        <v>693</v>
      </c>
      <c r="L158" s="9" t="s">
        <v>25</v>
      </c>
      <c r="M158" s="6" t="s">
        <v>1435</v>
      </c>
      <c r="N158" s="6" t="s">
        <v>1436</v>
      </c>
      <c r="O158" s="10" t="s">
        <v>1437</v>
      </c>
    </row>
    <row r="159">
      <c r="A159" s="11">
        <v>152.0</v>
      </c>
      <c r="B159" s="12"/>
      <c r="C159" s="15"/>
      <c r="D159" s="6" t="s">
        <v>1311</v>
      </c>
      <c r="E159" s="7" t="s">
        <v>1438</v>
      </c>
      <c r="F159" s="6" t="s">
        <v>1439</v>
      </c>
      <c r="G159" s="8" t="s">
        <v>1440</v>
      </c>
      <c r="H159" s="6" t="s">
        <v>1441</v>
      </c>
      <c r="I159" s="6" t="s">
        <v>691</v>
      </c>
      <c r="J159" s="6" t="s">
        <v>692</v>
      </c>
      <c r="K159" s="6" t="s">
        <v>693</v>
      </c>
      <c r="L159" s="9" t="s">
        <v>25</v>
      </c>
      <c r="M159" s="6" t="s">
        <v>1319</v>
      </c>
      <c r="N159" s="6" t="s">
        <v>1442</v>
      </c>
      <c r="O159" s="10" t="s">
        <v>1020</v>
      </c>
    </row>
    <row r="160">
      <c r="A160" s="3">
        <v>153.0</v>
      </c>
      <c r="B160" s="12"/>
      <c r="C160" s="22" t="s">
        <v>1443</v>
      </c>
      <c r="D160" s="6" t="s">
        <v>1444</v>
      </c>
      <c r="E160" s="7" t="s">
        <v>1445</v>
      </c>
      <c r="F160" s="6" t="s">
        <v>1446</v>
      </c>
      <c r="G160" s="8" t="s">
        <v>1447</v>
      </c>
      <c r="H160" s="6" t="s">
        <v>698</v>
      </c>
      <c r="I160" s="6" t="s">
        <v>1448</v>
      </c>
      <c r="J160" s="6" t="s">
        <v>1449</v>
      </c>
      <c r="K160" s="6" t="s">
        <v>1450</v>
      </c>
      <c r="L160" s="9" t="s">
        <v>25</v>
      </c>
      <c r="M160" s="6" t="s">
        <v>1451</v>
      </c>
      <c r="N160" s="6" t="s">
        <v>1452</v>
      </c>
      <c r="O160" s="10" t="s">
        <v>1020</v>
      </c>
    </row>
    <row r="161">
      <c r="A161" s="11">
        <v>154.0</v>
      </c>
      <c r="B161" s="12"/>
      <c r="C161" s="19" t="s">
        <v>1453</v>
      </c>
      <c r="D161" s="6" t="s">
        <v>1311</v>
      </c>
      <c r="E161" s="7" t="s">
        <v>1454</v>
      </c>
      <c r="F161" s="6" t="s">
        <v>1455</v>
      </c>
      <c r="G161" s="8" t="s">
        <v>1456</v>
      </c>
      <c r="H161" s="6" t="s">
        <v>1457</v>
      </c>
      <c r="I161" s="6" t="s">
        <v>1458</v>
      </c>
      <c r="J161" s="6" t="s">
        <v>1459</v>
      </c>
      <c r="K161" s="6" t="s">
        <v>1460</v>
      </c>
      <c r="L161" s="13" t="s">
        <v>45</v>
      </c>
      <c r="M161" s="6" t="s">
        <v>1461</v>
      </c>
      <c r="N161" s="6" t="s">
        <v>1462</v>
      </c>
      <c r="O161" s="10" t="s">
        <v>1463</v>
      </c>
    </row>
    <row r="162">
      <c r="A162" s="3">
        <v>221.0</v>
      </c>
      <c r="B162" s="12"/>
      <c r="C162" s="5" t="s">
        <v>1464</v>
      </c>
      <c r="D162" s="6" t="s">
        <v>1465</v>
      </c>
      <c r="E162" s="7" t="s">
        <v>1466</v>
      </c>
      <c r="F162" s="6" t="s">
        <v>1467</v>
      </c>
      <c r="G162" s="8" t="s">
        <v>1468</v>
      </c>
      <c r="H162" s="6" t="s">
        <v>1469</v>
      </c>
      <c r="I162" s="6" t="s">
        <v>1470</v>
      </c>
      <c r="J162" s="6" t="s">
        <v>1471</v>
      </c>
      <c r="K162" s="6" t="s">
        <v>1472</v>
      </c>
      <c r="L162" s="13" t="s">
        <v>45</v>
      </c>
      <c r="M162" s="6" t="s">
        <v>1473</v>
      </c>
      <c r="N162" s="6" t="s">
        <v>1474</v>
      </c>
      <c r="O162" s="10" t="s">
        <v>1475</v>
      </c>
    </row>
    <row r="163">
      <c r="A163" s="3">
        <v>222.0</v>
      </c>
      <c r="B163" s="12"/>
      <c r="C163" s="12"/>
      <c r="D163" s="6" t="s">
        <v>1465</v>
      </c>
      <c r="E163" s="7" t="s">
        <v>1476</v>
      </c>
      <c r="F163" s="6" t="s">
        <v>1477</v>
      </c>
      <c r="G163" s="8" t="s">
        <v>1478</v>
      </c>
      <c r="H163" s="6" t="s">
        <v>1479</v>
      </c>
      <c r="I163" s="6" t="s">
        <v>1480</v>
      </c>
      <c r="J163" s="6" t="s">
        <v>1481</v>
      </c>
      <c r="K163" s="6" t="s">
        <v>1482</v>
      </c>
      <c r="L163" s="13" t="s">
        <v>45</v>
      </c>
      <c r="M163" s="6" t="s">
        <v>1483</v>
      </c>
      <c r="N163" s="6" t="s">
        <v>1231</v>
      </c>
      <c r="O163" s="10" t="s">
        <v>1484</v>
      </c>
    </row>
    <row r="164">
      <c r="A164" s="3">
        <v>155.0</v>
      </c>
      <c r="B164" s="12"/>
      <c r="C164" s="12"/>
      <c r="D164" s="6" t="s">
        <v>1465</v>
      </c>
      <c r="E164" s="7" t="s">
        <v>1485</v>
      </c>
      <c r="F164" s="6" t="s">
        <v>1486</v>
      </c>
      <c r="G164" s="8" t="s">
        <v>1487</v>
      </c>
      <c r="H164" s="6" t="s">
        <v>1488</v>
      </c>
      <c r="I164" s="6" t="s">
        <v>1489</v>
      </c>
      <c r="J164" s="6" t="s">
        <v>1490</v>
      </c>
      <c r="K164" s="6" t="s">
        <v>1491</v>
      </c>
      <c r="L164" s="13" t="s">
        <v>45</v>
      </c>
      <c r="M164" s="6" t="s">
        <v>1492</v>
      </c>
      <c r="N164" s="6" t="s">
        <v>1493</v>
      </c>
      <c r="O164" s="10" t="s">
        <v>1475</v>
      </c>
    </row>
    <row r="165">
      <c r="A165" s="11">
        <v>156.0</v>
      </c>
      <c r="B165" s="12"/>
      <c r="C165" s="12"/>
      <c r="D165" s="6" t="s">
        <v>1465</v>
      </c>
      <c r="E165" s="7" t="s">
        <v>1494</v>
      </c>
      <c r="F165" s="6" t="s">
        <v>1495</v>
      </c>
      <c r="G165" s="8" t="s">
        <v>1496</v>
      </c>
      <c r="H165" s="6" t="s">
        <v>1497</v>
      </c>
      <c r="I165" s="6" t="s">
        <v>1498</v>
      </c>
      <c r="J165" s="6" t="s">
        <v>1499</v>
      </c>
      <c r="K165" s="6" t="s">
        <v>1500</v>
      </c>
      <c r="L165" s="9" t="s">
        <v>25</v>
      </c>
      <c r="M165" s="6" t="s">
        <v>1501</v>
      </c>
      <c r="N165" s="6" t="s">
        <v>1502</v>
      </c>
      <c r="O165" s="10" t="s">
        <v>1147</v>
      </c>
    </row>
    <row r="166">
      <c r="A166" s="3">
        <v>157.0</v>
      </c>
      <c r="B166" s="12"/>
      <c r="C166" s="12"/>
      <c r="D166" s="6" t="s">
        <v>1465</v>
      </c>
      <c r="E166" s="7" t="s">
        <v>1503</v>
      </c>
      <c r="F166" s="6" t="s">
        <v>1504</v>
      </c>
      <c r="G166" s="8" t="s">
        <v>1505</v>
      </c>
      <c r="H166" s="6" t="s">
        <v>1506</v>
      </c>
      <c r="I166" s="6" t="s">
        <v>1507</v>
      </c>
      <c r="J166" s="6" t="s">
        <v>1508</v>
      </c>
      <c r="K166" s="6" t="s">
        <v>1509</v>
      </c>
      <c r="L166" s="13" t="s">
        <v>45</v>
      </c>
      <c r="M166" s="6" t="s">
        <v>1492</v>
      </c>
      <c r="N166" s="6" t="s">
        <v>1510</v>
      </c>
      <c r="O166" s="10" t="s">
        <v>1475</v>
      </c>
    </row>
    <row r="167">
      <c r="A167" s="11">
        <v>158.0</v>
      </c>
      <c r="B167" s="12"/>
      <c r="C167" s="12"/>
      <c r="D167" s="6" t="s">
        <v>1465</v>
      </c>
      <c r="E167" s="7" t="s">
        <v>1511</v>
      </c>
      <c r="F167" s="6" t="s">
        <v>1512</v>
      </c>
      <c r="G167" s="8" t="s">
        <v>1513</v>
      </c>
      <c r="H167" s="6" t="s">
        <v>1514</v>
      </c>
      <c r="I167" s="6" t="s">
        <v>1515</v>
      </c>
      <c r="J167" s="6" t="s">
        <v>1516</v>
      </c>
      <c r="K167" s="6" t="s">
        <v>1517</v>
      </c>
      <c r="L167" s="13" t="s">
        <v>45</v>
      </c>
      <c r="M167" s="6" t="s">
        <v>1518</v>
      </c>
      <c r="N167" s="6" t="s">
        <v>170</v>
      </c>
      <c r="O167" s="10" t="s">
        <v>1147</v>
      </c>
    </row>
    <row r="168">
      <c r="A168" s="3">
        <v>159.0</v>
      </c>
      <c r="B168" s="12"/>
      <c r="C168" s="12"/>
      <c r="D168" s="6" t="s">
        <v>1465</v>
      </c>
      <c r="E168" s="7" t="s">
        <v>1519</v>
      </c>
      <c r="F168" s="6" t="s">
        <v>1520</v>
      </c>
      <c r="G168" s="8" t="s">
        <v>1521</v>
      </c>
      <c r="H168" s="6" t="s">
        <v>1522</v>
      </c>
      <c r="I168" s="6" t="s">
        <v>1523</v>
      </c>
      <c r="J168" s="6" t="s">
        <v>1524</v>
      </c>
      <c r="K168" s="6" t="s">
        <v>1525</v>
      </c>
      <c r="L168" s="13" t="s">
        <v>45</v>
      </c>
      <c r="M168" s="6" t="s">
        <v>1526</v>
      </c>
      <c r="N168" s="6" t="s">
        <v>1527</v>
      </c>
      <c r="O168" s="10" t="s">
        <v>1147</v>
      </c>
    </row>
    <row r="169">
      <c r="A169" s="11">
        <v>160.0</v>
      </c>
      <c r="B169" s="12"/>
      <c r="C169" s="12"/>
      <c r="D169" s="6" t="s">
        <v>1465</v>
      </c>
      <c r="E169" s="7" t="s">
        <v>1528</v>
      </c>
      <c r="F169" s="6" t="s">
        <v>1529</v>
      </c>
      <c r="G169" s="8" t="s">
        <v>1530</v>
      </c>
      <c r="H169" s="6" t="s">
        <v>1531</v>
      </c>
      <c r="I169" s="6" t="s">
        <v>1532</v>
      </c>
      <c r="J169" s="6" t="s">
        <v>1533</v>
      </c>
      <c r="K169" s="6" t="s">
        <v>1534</v>
      </c>
      <c r="L169" s="9" t="s">
        <v>25</v>
      </c>
      <c r="M169" s="6" t="s">
        <v>1535</v>
      </c>
      <c r="N169" s="6" t="s">
        <v>1536</v>
      </c>
      <c r="O169" s="10" t="s">
        <v>960</v>
      </c>
    </row>
    <row r="170">
      <c r="A170" s="3">
        <v>161.0</v>
      </c>
      <c r="B170" s="12"/>
      <c r="C170" s="12"/>
      <c r="D170" s="6" t="s">
        <v>1465</v>
      </c>
      <c r="E170" s="7" t="s">
        <v>1537</v>
      </c>
      <c r="F170" s="6" t="s">
        <v>1538</v>
      </c>
      <c r="G170" s="8" t="s">
        <v>1539</v>
      </c>
      <c r="H170" s="6" t="s">
        <v>1540</v>
      </c>
      <c r="I170" s="6" t="s">
        <v>1541</v>
      </c>
      <c r="J170" s="6" t="s">
        <v>1542</v>
      </c>
      <c r="K170" s="6" t="s">
        <v>1543</v>
      </c>
      <c r="L170" s="9" t="s">
        <v>25</v>
      </c>
      <c r="M170" s="6" t="s">
        <v>1544</v>
      </c>
      <c r="N170" s="6" t="s">
        <v>1502</v>
      </c>
      <c r="O170" s="10" t="s">
        <v>1147</v>
      </c>
    </row>
    <row r="171">
      <c r="A171" s="11">
        <v>162.0</v>
      </c>
      <c r="B171" s="12"/>
      <c r="C171" s="12"/>
      <c r="D171" s="6" t="s">
        <v>1465</v>
      </c>
      <c r="E171" s="7" t="s">
        <v>1545</v>
      </c>
      <c r="F171" s="6" t="s">
        <v>1546</v>
      </c>
      <c r="G171" s="8" t="s">
        <v>1547</v>
      </c>
      <c r="H171" s="6" t="s">
        <v>1548</v>
      </c>
      <c r="I171" s="6" t="s">
        <v>1549</v>
      </c>
      <c r="J171" s="6" t="s">
        <v>1550</v>
      </c>
      <c r="K171" s="6" t="s">
        <v>1551</v>
      </c>
      <c r="L171" s="9" t="s">
        <v>25</v>
      </c>
      <c r="M171" s="6" t="s">
        <v>1552</v>
      </c>
      <c r="N171" s="6" t="s">
        <v>1553</v>
      </c>
      <c r="O171" s="10" t="s">
        <v>960</v>
      </c>
    </row>
    <row r="172">
      <c r="A172" s="3">
        <v>163.0</v>
      </c>
      <c r="B172" s="12"/>
      <c r="C172" s="12"/>
      <c r="D172" s="6" t="s">
        <v>1465</v>
      </c>
      <c r="E172" s="7" t="s">
        <v>1554</v>
      </c>
      <c r="F172" s="6" t="s">
        <v>1555</v>
      </c>
      <c r="G172" s="8" t="s">
        <v>1556</v>
      </c>
      <c r="H172" s="6" t="s">
        <v>1557</v>
      </c>
      <c r="I172" s="6" t="s">
        <v>1558</v>
      </c>
      <c r="J172" s="6" t="s">
        <v>1559</v>
      </c>
      <c r="K172" s="6" t="s">
        <v>1560</v>
      </c>
      <c r="L172" s="13" t="s">
        <v>45</v>
      </c>
      <c r="M172" s="6" t="s">
        <v>1561</v>
      </c>
      <c r="N172" s="6" t="s">
        <v>1562</v>
      </c>
      <c r="O172" s="10" t="s">
        <v>1147</v>
      </c>
    </row>
    <row r="173">
      <c r="A173" s="11">
        <v>164.0</v>
      </c>
      <c r="B173" s="12"/>
      <c r="C173" s="12"/>
      <c r="D173" s="6" t="s">
        <v>1465</v>
      </c>
      <c r="E173" s="7" t="s">
        <v>1563</v>
      </c>
      <c r="F173" s="6" t="s">
        <v>1564</v>
      </c>
      <c r="G173" s="8" t="s">
        <v>1565</v>
      </c>
      <c r="H173" s="6" t="s">
        <v>1566</v>
      </c>
      <c r="I173" s="6" t="s">
        <v>1567</v>
      </c>
      <c r="J173" s="6" t="s">
        <v>1568</v>
      </c>
      <c r="K173" s="6" t="s">
        <v>1569</v>
      </c>
      <c r="L173" s="13" t="s">
        <v>45</v>
      </c>
      <c r="M173" s="6" t="s">
        <v>1570</v>
      </c>
      <c r="N173" s="6" t="s">
        <v>1571</v>
      </c>
      <c r="O173" s="10" t="s">
        <v>341</v>
      </c>
    </row>
    <row r="174">
      <c r="A174" s="3">
        <v>165.0</v>
      </c>
      <c r="B174" s="12"/>
      <c r="C174" s="12"/>
      <c r="D174" s="6" t="s">
        <v>1465</v>
      </c>
      <c r="E174" s="7" t="s">
        <v>1572</v>
      </c>
      <c r="F174" s="6" t="s">
        <v>1573</v>
      </c>
      <c r="G174" s="8" t="s">
        <v>1574</v>
      </c>
      <c r="H174" s="6" t="s">
        <v>1575</v>
      </c>
      <c r="I174" s="6" t="s">
        <v>1576</v>
      </c>
      <c r="J174" s="6" t="s">
        <v>1577</v>
      </c>
      <c r="K174" s="6" t="s">
        <v>1578</v>
      </c>
      <c r="L174" s="13" t="s">
        <v>45</v>
      </c>
      <c r="M174" s="6" t="s">
        <v>1579</v>
      </c>
      <c r="N174" s="6" t="s">
        <v>1580</v>
      </c>
      <c r="O174" s="10" t="s">
        <v>1147</v>
      </c>
    </row>
    <row r="175">
      <c r="A175" s="11">
        <v>166.0</v>
      </c>
      <c r="B175" s="12"/>
      <c r="C175" s="12"/>
      <c r="D175" s="6" t="s">
        <v>1465</v>
      </c>
      <c r="E175" s="7" t="s">
        <v>1581</v>
      </c>
      <c r="F175" s="6" t="s">
        <v>1582</v>
      </c>
      <c r="G175" s="8" t="s">
        <v>1583</v>
      </c>
      <c r="H175" s="6" t="s">
        <v>1584</v>
      </c>
      <c r="I175" s="6" t="s">
        <v>1585</v>
      </c>
      <c r="J175" s="6" t="s">
        <v>1586</v>
      </c>
      <c r="K175" s="6" t="s">
        <v>1587</v>
      </c>
      <c r="L175" s="13" t="s">
        <v>45</v>
      </c>
      <c r="M175" s="6" t="s">
        <v>1588</v>
      </c>
      <c r="N175" s="6" t="s">
        <v>1589</v>
      </c>
      <c r="O175" s="10" t="s">
        <v>1590</v>
      </c>
    </row>
    <row r="176">
      <c r="A176" s="3">
        <v>167.0</v>
      </c>
      <c r="B176" s="15"/>
      <c r="C176" s="15"/>
      <c r="D176" s="6" t="s">
        <v>1465</v>
      </c>
      <c r="E176" s="7" t="s">
        <v>1591</v>
      </c>
      <c r="F176" s="6" t="s">
        <v>1592</v>
      </c>
      <c r="G176" s="8" t="s">
        <v>1593</v>
      </c>
      <c r="H176" s="6" t="s">
        <v>1594</v>
      </c>
      <c r="I176" s="6" t="s">
        <v>1595</v>
      </c>
      <c r="J176" s="6" t="s">
        <v>1596</v>
      </c>
      <c r="K176" s="6" t="s">
        <v>1597</v>
      </c>
      <c r="L176" s="13" t="s">
        <v>45</v>
      </c>
      <c r="M176" s="6" t="s">
        <v>1588</v>
      </c>
      <c r="N176" s="6" t="s">
        <v>1598</v>
      </c>
      <c r="O176" s="10" t="s">
        <v>1475</v>
      </c>
    </row>
    <row r="177">
      <c r="A177" s="11">
        <v>168.0</v>
      </c>
      <c r="B177" s="24" t="s">
        <v>1599</v>
      </c>
      <c r="C177" s="16" t="s">
        <v>1600</v>
      </c>
      <c r="D177" s="6" t="s">
        <v>1601</v>
      </c>
      <c r="E177" s="7" t="s">
        <v>1602</v>
      </c>
      <c r="F177" s="6" t="s">
        <v>1603</v>
      </c>
      <c r="G177" s="8" t="s">
        <v>1604</v>
      </c>
      <c r="H177" s="6" t="s">
        <v>1605</v>
      </c>
      <c r="I177" s="6" t="s">
        <v>691</v>
      </c>
      <c r="J177" s="6" t="s">
        <v>692</v>
      </c>
      <c r="K177" s="6" t="s">
        <v>693</v>
      </c>
      <c r="L177" s="9" t="s">
        <v>25</v>
      </c>
      <c r="M177" s="6" t="s">
        <v>933</v>
      </c>
      <c r="N177" s="6" t="s">
        <v>934</v>
      </c>
      <c r="O177" s="10" t="s">
        <v>935</v>
      </c>
    </row>
    <row r="178">
      <c r="A178" s="3">
        <v>169.0</v>
      </c>
      <c r="B178" s="12"/>
      <c r="C178" s="12"/>
      <c r="D178" s="6" t="s">
        <v>1606</v>
      </c>
      <c r="E178" s="7" t="s">
        <v>1607</v>
      </c>
      <c r="F178" s="6" t="s">
        <v>1608</v>
      </c>
      <c r="G178" s="8" t="s">
        <v>1609</v>
      </c>
      <c r="H178" s="6" t="s">
        <v>1610</v>
      </c>
      <c r="I178" s="6" t="s">
        <v>1611</v>
      </c>
      <c r="J178" s="6" t="s">
        <v>1612</v>
      </c>
      <c r="K178" s="6" t="s">
        <v>1613</v>
      </c>
      <c r="L178" s="9" t="s">
        <v>25</v>
      </c>
      <c r="M178" s="6" t="s">
        <v>1614</v>
      </c>
      <c r="N178" s="6" t="s">
        <v>1615</v>
      </c>
      <c r="O178" s="10" t="s">
        <v>1331</v>
      </c>
    </row>
    <row r="179">
      <c r="A179" s="11">
        <v>170.0</v>
      </c>
      <c r="B179" s="12"/>
      <c r="C179" s="12"/>
      <c r="D179" s="6" t="s">
        <v>1606</v>
      </c>
      <c r="E179" s="7" t="s">
        <v>1616</v>
      </c>
      <c r="F179" s="6" t="s">
        <v>1617</v>
      </c>
      <c r="G179" s="8" t="s">
        <v>1618</v>
      </c>
      <c r="H179" s="6" t="s">
        <v>1619</v>
      </c>
      <c r="I179" s="6" t="s">
        <v>1620</v>
      </c>
      <c r="J179" s="6" t="s">
        <v>1621</v>
      </c>
      <c r="K179" s="6" t="s">
        <v>1622</v>
      </c>
      <c r="L179" s="13" t="s">
        <v>45</v>
      </c>
      <c r="M179" s="6" t="s">
        <v>1623</v>
      </c>
      <c r="N179" s="6" t="s">
        <v>1624</v>
      </c>
      <c r="O179" s="10" t="s">
        <v>1321</v>
      </c>
    </row>
    <row r="180">
      <c r="A180" s="3">
        <v>171.0</v>
      </c>
      <c r="B180" s="12"/>
      <c r="C180" s="12"/>
      <c r="D180" s="6" t="s">
        <v>1606</v>
      </c>
      <c r="E180" s="7" t="s">
        <v>1625</v>
      </c>
      <c r="F180" s="6" t="s">
        <v>1626</v>
      </c>
      <c r="G180" s="8" t="s">
        <v>1627</v>
      </c>
      <c r="H180" s="6" t="s">
        <v>1628</v>
      </c>
      <c r="I180" s="6" t="s">
        <v>1629</v>
      </c>
      <c r="J180" s="6" t="s">
        <v>1630</v>
      </c>
      <c r="K180" s="6" t="s">
        <v>1631</v>
      </c>
      <c r="L180" s="13" t="s">
        <v>45</v>
      </c>
      <c r="M180" s="6" t="s">
        <v>1632</v>
      </c>
      <c r="N180" s="6" t="s">
        <v>1633</v>
      </c>
      <c r="O180" s="10" t="s">
        <v>1331</v>
      </c>
    </row>
    <row r="181">
      <c r="A181" s="11">
        <v>172.0</v>
      </c>
      <c r="B181" s="12"/>
      <c r="C181" s="12"/>
      <c r="D181" s="6" t="s">
        <v>1606</v>
      </c>
      <c r="E181" s="7" t="s">
        <v>1634</v>
      </c>
      <c r="F181" s="6" t="s">
        <v>1635</v>
      </c>
      <c r="G181" s="8" t="s">
        <v>1636</v>
      </c>
      <c r="H181" s="6" t="s">
        <v>1637</v>
      </c>
      <c r="I181" s="6" t="s">
        <v>1638</v>
      </c>
      <c r="J181" s="6" t="s">
        <v>1639</v>
      </c>
      <c r="K181" s="6" t="s">
        <v>1640</v>
      </c>
      <c r="L181" s="13" t="s">
        <v>45</v>
      </c>
      <c r="M181" s="6" t="s">
        <v>1641</v>
      </c>
      <c r="N181" s="6" t="s">
        <v>1633</v>
      </c>
      <c r="O181" s="10" t="s">
        <v>1642</v>
      </c>
    </row>
    <row r="182">
      <c r="A182" s="3">
        <v>173.0</v>
      </c>
      <c r="B182" s="12"/>
      <c r="C182" s="12"/>
      <c r="D182" s="6" t="s">
        <v>1606</v>
      </c>
      <c r="E182" s="7" t="s">
        <v>1643</v>
      </c>
      <c r="F182" s="6" t="s">
        <v>1644</v>
      </c>
      <c r="G182" s="8" t="s">
        <v>1645</v>
      </c>
      <c r="H182" s="6" t="s">
        <v>1646</v>
      </c>
      <c r="I182" s="6" t="s">
        <v>1647</v>
      </c>
      <c r="J182" s="6" t="s">
        <v>1648</v>
      </c>
      <c r="K182" s="6" t="s">
        <v>1649</v>
      </c>
      <c r="L182" s="13" t="s">
        <v>45</v>
      </c>
      <c r="M182" s="6" t="s">
        <v>1650</v>
      </c>
      <c r="N182" s="6" t="s">
        <v>1633</v>
      </c>
      <c r="O182" s="10" t="s">
        <v>1331</v>
      </c>
    </row>
    <row r="183">
      <c r="A183" s="11">
        <v>174.0</v>
      </c>
      <c r="B183" s="12"/>
      <c r="C183" s="12"/>
      <c r="D183" s="6" t="s">
        <v>1606</v>
      </c>
      <c r="E183" s="7" t="s">
        <v>1651</v>
      </c>
      <c r="F183" s="6" t="s">
        <v>1652</v>
      </c>
      <c r="G183" s="8" t="s">
        <v>1653</v>
      </c>
      <c r="H183" s="6" t="s">
        <v>1654</v>
      </c>
      <c r="I183" s="6" t="s">
        <v>1655</v>
      </c>
      <c r="J183" s="6" t="s">
        <v>1656</v>
      </c>
      <c r="K183" s="6" t="s">
        <v>1657</v>
      </c>
      <c r="L183" s="13" t="s">
        <v>45</v>
      </c>
      <c r="M183" s="6" t="s">
        <v>1658</v>
      </c>
      <c r="N183" s="6" t="s">
        <v>1659</v>
      </c>
      <c r="O183" s="10" t="s">
        <v>1331</v>
      </c>
    </row>
    <row r="184">
      <c r="A184" s="3">
        <v>175.0</v>
      </c>
      <c r="B184" s="12"/>
      <c r="C184" s="15"/>
      <c r="D184" s="6" t="s">
        <v>1606</v>
      </c>
      <c r="E184" s="7" t="s">
        <v>1660</v>
      </c>
      <c r="F184" s="6" t="s">
        <v>1661</v>
      </c>
      <c r="G184" s="8" t="s">
        <v>1662</v>
      </c>
      <c r="H184" s="6" t="s">
        <v>1663</v>
      </c>
      <c r="I184" s="6" t="s">
        <v>1664</v>
      </c>
      <c r="J184" s="6" t="s">
        <v>1665</v>
      </c>
      <c r="K184" s="6" t="s">
        <v>1666</v>
      </c>
      <c r="L184" s="13" t="s">
        <v>45</v>
      </c>
      <c r="M184" s="6" t="s">
        <v>1667</v>
      </c>
      <c r="N184" s="6" t="s">
        <v>1633</v>
      </c>
      <c r="O184" s="10" t="s">
        <v>1331</v>
      </c>
    </row>
    <row r="185">
      <c r="A185" s="11">
        <v>176.0</v>
      </c>
      <c r="B185" s="12"/>
      <c r="C185" s="16" t="s">
        <v>1668</v>
      </c>
      <c r="D185" s="6" t="s">
        <v>1669</v>
      </c>
      <c r="E185" s="7" t="s">
        <v>1670</v>
      </c>
      <c r="F185" s="6" t="s">
        <v>1671</v>
      </c>
      <c r="G185" s="8" t="s">
        <v>1672</v>
      </c>
      <c r="H185" s="6" t="s">
        <v>1673</v>
      </c>
      <c r="I185" s="6" t="s">
        <v>1674</v>
      </c>
      <c r="J185" s="6" t="s">
        <v>1675</v>
      </c>
      <c r="K185" s="6" t="s">
        <v>1676</v>
      </c>
      <c r="L185" s="13" t="s">
        <v>45</v>
      </c>
      <c r="M185" s="6" t="s">
        <v>1677</v>
      </c>
      <c r="N185" s="6" t="s">
        <v>170</v>
      </c>
      <c r="O185" s="10" t="s">
        <v>1331</v>
      </c>
    </row>
    <row r="186">
      <c r="A186" s="3">
        <v>177.0</v>
      </c>
      <c r="B186" s="12"/>
      <c r="C186" s="12"/>
      <c r="D186" s="6" t="s">
        <v>1678</v>
      </c>
      <c r="E186" s="7" t="s">
        <v>1679</v>
      </c>
      <c r="F186" s="6" t="s">
        <v>1680</v>
      </c>
      <c r="G186" s="8" t="s">
        <v>1681</v>
      </c>
      <c r="H186" s="6" t="s">
        <v>1682</v>
      </c>
      <c r="I186" s="6" t="s">
        <v>1683</v>
      </c>
      <c r="J186" s="6" t="s">
        <v>1684</v>
      </c>
      <c r="K186" s="6" t="s">
        <v>1685</v>
      </c>
      <c r="L186" s="13" t="s">
        <v>45</v>
      </c>
      <c r="M186" s="6" t="s">
        <v>1686</v>
      </c>
      <c r="N186" s="6" t="s">
        <v>170</v>
      </c>
      <c r="O186" s="10" t="s">
        <v>1279</v>
      </c>
    </row>
    <row r="187">
      <c r="A187" s="11">
        <v>178.0</v>
      </c>
      <c r="B187" s="12"/>
      <c r="C187" s="15"/>
      <c r="D187" s="6" t="s">
        <v>1687</v>
      </c>
      <c r="E187" s="7" t="s">
        <v>1688</v>
      </c>
      <c r="F187" s="6" t="s">
        <v>1689</v>
      </c>
      <c r="G187" s="8" t="s">
        <v>1690</v>
      </c>
      <c r="H187" s="6" t="s">
        <v>1691</v>
      </c>
      <c r="I187" s="6" t="s">
        <v>1692</v>
      </c>
      <c r="J187" s="6" t="s">
        <v>1693</v>
      </c>
      <c r="K187" s="6" t="s">
        <v>1694</v>
      </c>
      <c r="L187" s="13" t="s">
        <v>45</v>
      </c>
      <c r="M187" s="6" t="s">
        <v>1695</v>
      </c>
      <c r="N187" s="6" t="s">
        <v>170</v>
      </c>
      <c r="O187" s="10" t="s">
        <v>1642</v>
      </c>
    </row>
    <row r="188">
      <c r="A188" s="3">
        <v>179.0</v>
      </c>
      <c r="B188" s="12"/>
      <c r="C188" s="5" t="s">
        <v>1696</v>
      </c>
      <c r="D188" s="6" t="s">
        <v>1669</v>
      </c>
      <c r="E188" s="7" t="s">
        <v>1697</v>
      </c>
      <c r="F188" s="6" t="s">
        <v>1698</v>
      </c>
      <c r="G188" s="8" t="s">
        <v>1699</v>
      </c>
      <c r="H188" s="6" t="s">
        <v>1700</v>
      </c>
      <c r="I188" s="6" t="s">
        <v>1701</v>
      </c>
      <c r="J188" s="6" t="s">
        <v>1702</v>
      </c>
      <c r="K188" s="6" t="s">
        <v>1703</v>
      </c>
      <c r="L188" s="13" t="s">
        <v>45</v>
      </c>
      <c r="M188" s="6" t="s">
        <v>1704</v>
      </c>
      <c r="N188" s="6" t="s">
        <v>170</v>
      </c>
      <c r="O188" s="10" t="s">
        <v>1705</v>
      </c>
    </row>
    <row r="189">
      <c r="A189" s="11">
        <v>180.0</v>
      </c>
      <c r="B189" s="12"/>
      <c r="C189" s="12"/>
      <c r="D189" s="6" t="s">
        <v>1706</v>
      </c>
      <c r="E189" s="7" t="s">
        <v>1707</v>
      </c>
      <c r="F189" s="6" t="s">
        <v>1708</v>
      </c>
      <c r="G189" s="8" t="s">
        <v>1709</v>
      </c>
      <c r="H189" s="6" t="s">
        <v>1710</v>
      </c>
      <c r="I189" s="6" t="s">
        <v>1711</v>
      </c>
      <c r="J189" s="6" t="s">
        <v>1712</v>
      </c>
      <c r="K189" s="6" t="s">
        <v>1713</v>
      </c>
      <c r="L189" s="13" t="s">
        <v>45</v>
      </c>
      <c r="M189" s="6" t="s">
        <v>1714</v>
      </c>
      <c r="N189" s="6" t="s">
        <v>170</v>
      </c>
      <c r="O189" s="10" t="s">
        <v>1705</v>
      </c>
    </row>
    <row r="190">
      <c r="A190" s="3">
        <v>181.0</v>
      </c>
      <c r="B190" s="12"/>
      <c r="C190" s="12"/>
      <c r="D190" s="6" t="s">
        <v>1715</v>
      </c>
      <c r="E190" s="7" t="s">
        <v>1716</v>
      </c>
      <c r="F190" s="6" t="s">
        <v>1717</v>
      </c>
      <c r="G190" s="8" t="s">
        <v>1718</v>
      </c>
      <c r="H190" s="6" t="s">
        <v>1719</v>
      </c>
      <c r="I190" s="6" t="s">
        <v>1720</v>
      </c>
      <c r="J190" s="6" t="s">
        <v>1721</v>
      </c>
      <c r="K190" s="6" t="s">
        <v>1722</v>
      </c>
      <c r="L190" s="9" t="s">
        <v>25</v>
      </c>
      <c r="M190" s="6" t="s">
        <v>1723</v>
      </c>
      <c r="N190" s="6" t="s">
        <v>1724</v>
      </c>
      <c r="O190" s="10" t="s">
        <v>1725</v>
      </c>
    </row>
    <row r="191">
      <c r="A191" s="11">
        <v>182.0</v>
      </c>
      <c r="B191" s="12"/>
      <c r="C191" s="12"/>
      <c r="D191" s="6" t="s">
        <v>1669</v>
      </c>
      <c r="E191" s="7" t="s">
        <v>1726</v>
      </c>
      <c r="F191" s="6" t="s">
        <v>1727</v>
      </c>
      <c r="G191" s="8" t="s">
        <v>1728</v>
      </c>
      <c r="H191" s="6" t="s">
        <v>1729</v>
      </c>
      <c r="I191" s="6" t="s">
        <v>1730</v>
      </c>
      <c r="J191" s="6" t="s">
        <v>1731</v>
      </c>
      <c r="K191" s="6" t="s">
        <v>1732</v>
      </c>
      <c r="L191" s="13" t="s">
        <v>45</v>
      </c>
      <c r="M191" s="6" t="s">
        <v>1733</v>
      </c>
      <c r="N191" s="6" t="s">
        <v>170</v>
      </c>
      <c r="O191" s="10" t="s">
        <v>1734</v>
      </c>
    </row>
    <row r="192">
      <c r="A192" s="3">
        <v>183.0</v>
      </c>
      <c r="B192" s="12"/>
      <c r="C192" s="15"/>
      <c r="D192" s="6" t="s">
        <v>1669</v>
      </c>
      <c r="E192" s="7" t="s">
        <v>1735</v>
      </c>
      <c r="F192" s="6" t="s">
        <v>1736</v>
      </c>
      <c r="G192" s="8" t="s">
        <v>1737</v>
      </c>
      <c r="H192" s="6" t="s">
        <v>1738</v>
      </c>
      <c r="I192" s="6" t="s">
        <v>1739</v>
      </c>
      <c r="J192" s="6" t="s">
        <v>1740</v>
      </c>
      <c r="K192" s="6" t="s">
        <v>1741</v>
      </c>
      <c r="L192" s="9" t="s">
        <v>25</v>
      </c>
      <c r="M192" s="6" t="s">
        <v>1742</v>
      </c>
      <c r="N192" s="6" t="s">
        <v>1743</v>
      </c>
      <c r="O192" s="10" t="s">
        <v>1725</v>
      </c>
    </row>
    <row r="193">
      <c r="A193" s="11">
        <v>184.0</v>
      </c>
      <c r="B193" s="12"/>
      <c r="C193" s="16" t="s">
        <v>1744</v>
      </c>
      <c r="D193" s="6" t="s">
        <v>1606</v>
      </c>
      <c r="E193" s="7" t="s">
        <v>1745</v>
      </c>
      <c r="F193" s="6" t="s">
        <v>1746</v>
      </c>
      <c r="G193" s="8" t="s">
        <v>1747</v>
      </c>
      <c r="H193" s="6" t="s">
        <v>1748</v>
      </c>
      <c r="I193" s="6" t="s">
        <v>1749</v>
      </c>
      <c r="J193" s="6" t="s">
        <v>1750</v>
      </c>
      <c r="K193" s="6" t="s">
        <v>1751</v>
      </c>
      <c r="L193" s="13" t="s">
        <v>45</v>
      </c>
      <c r="M193" s="6" t="s">
        <v>1752</v>
      </c>
      <c r="N193" s="6" t="s">
        <v>1753</v>
      </c>
      <c r="O193" s="10" t="s">
        <v>1331</v>
      </c>
    </row>
    <row r="194">
      <c r="A194" s="3">
        <v>185.0</v>
      </c>
      <c r="B194" s="12"/>
      <c r="C194" s="15"/>
      <c r="D194" s="6" t="s">
        <v>1606</v>
      </c>
      <c r="E194" s="7" t="s">
        <v>1754</v>
      </c>
      <c r="F194" s="6" t="s">
        <v>1755</v>
      </c>
      <c r="G194" s="8" t="s">
        <v>1756</v>
      </c>
      <c r="H194" s="6" t="s">
        <v>1757</v>
      </c>
      <c r="I194" s="6" t="s">
        <v>1758</v>
      </c>
      <c r="J194" s="6" t="s">
        <v>1759</v>
      </c>
      <c r="K194" s="6" t="s">
        <v>1760</v>
      </c>
      <c r="L194" s="13" t="s">
        <v>45</v>
      </c>
      <c r="M194" s="6" t="s">
        <v>1761</v>
      </c>
      <c r="N194" s="6" t="s">
        <v>1762</v>
      </c>
      <c r="O194" s="10" t="s">
        <v>1331</v>
      </c>
    </row>
    <row r="195">
      <c r="A195" s="11">
        <v>186.0</v>
      </c>
      <c r="B195" s="12"/>
      <c r="C195" s="16" t="s">
        <v>1763</v>
      </c>
      <c r="D195" s="6" t="s">
        <v>1606</v>
      </c>
      <c r="E195" s="7" t="s">
        <v>1764</v>
      </c>
      <c r="F195" s="6" t="s">
        <v>1765</v>
      </c>
      <c r="G195" s="8" t="s">
        <v>1766</v>
      </c>
      <c r="H195" s="6" t="s">
        <v>1767</v>
      </c>
      <c r="I195" s="6" t="s">
        <v>1768</v>
      </c>
      <c r="J195" s="6" t="s">
        <v>1769</v>
      </c>
      <c r="K195" s="6" t="s">
        <v>1770</v>
      </c>
      <c r="L195" s="14" t="s">
        <v>54</v>
      </c>
      <c r="M195" s="6" t="s">
        <v>1658</v>
      </c>
      <c r="N195" s="6" t="s">
        <v>1771</v>
      </c>
      <c r="O195" s="10" t="s">
        <v>1321</v>
      </c>
    </row>
    <row r="196">
      <c r="A196" s="3">
        <v>187.0</v>
      </c>
      <c r="B196" s="12"/>
      <c r="C196" s="15"/>
      <c r="D196" s="6" t="s">
        <v>1606</v>
      </c>
      <c r="E196" s="7" t="s">
        <v>1772</v>
      </c>
      <c r="F196" s="6" t="s">
        <v>1773</v>
      </c>
      <c r="G196" s="8" t="s">
        <v>1774</v>
      </c>
      <c r="H196" s="6" t="s">
        <v>1775</v>
      </c>
      <c r="I196" s="6" t="s">
        <v>1776</v>
      </c>
      <c r="J196" s="6" t="s">
        <v>1777</v>
      </c>
      <c r="K196" s="6" t="s">
        <v>1778</v>
      </c>
      <c r="L196" s="9" t="s">
        <v>25</v>
      </c>
      <c r="M196" s="6" t="s">
        <v>1779</v>
      </c>
      <c r="N196" s="6" t="s">
        <v>1780</v>
      </c>
      <c r="O196" s="10" t="s">
        <v>1413</v>
      </c>
    </row>
    <row r="197">
      <c r="A197" s="11">
        <v>223.0</v>
      </c>
      <c r="B197" s="12"/>
      <c r="C197" s="16" t="s">
        <v>1781</v>
      </c>
      <c r="D197" s="6" t="s">
        <v>1782</v>
      </c>
      <c r="E197" s="7" t="s">
        <v>1783</v>
      </c>
      <c r="F197" s="6" t="s">
        <v>1784</v>
      </c>
      <c r="G197" s="8" t="s">
        <v>1785</v>
      </c>
      <c r="H197" s="6" t="s">
        <v>1786</v>
      </c>
      <c r="I197" s="6" t="s">
        <v>1787</v>
      </c>
      <c r="J197" s="6" t="s">
        <v>1788</v>
      </c>
      <c r="K197" s="6" t="s">
        <v>1789</v>
      </c>
      <c r="L197" s="13" t="s">
        <v>25</v>
      </c>
      <c r="M197" s="6" t="s">
        <v>1790</v>
      </c>
      <c r="N197" s="6" t="s">
        <v>180</v>
      </c>
      <c r="O197" s="10" t="s">
        <v>1791</v>
      </c>
    </row>
    <row r="198">
      <c r="A198" s="11">
        <v>188.0</v>
      </c>
      <c r="B198" s="12"/>
      <c r="C198" s="12"/>
      <c r="D198" s="6" t="s">
        <v>1792</v>
      </c>
      <c r="E198" s="7" t="s">
        <v>1793</v>
      </c>
      <c r="F198" s="6" t="s">
        <v>1794</v>
      </c>
      <c r="G198" s="8" t="s">
        <v>1795</v>
      </c>
      <c r="H198" s="6" t="s">
        <v>1796</v>
      </c>
      <c r="I198" s="6" t="s">
        <v>1797</v>
      </c>
      <c r="J198" s="6" t="s">
        <v>1798</v>
      </c>
      <c r="K198" s="6" t="s">
        <v>1799</v>
      </c>
      <c r="L198" s="13" t="s">
        <v>45</v>
      </c>
      <c r="M198" s="6" t="s">
        <v>1800</v>
      </c>
      <c r="N198" s="6" t="s">
        <v>1801</v>
      </c>
      <c r="O198" s="10" t="s">
        <v>1413</v>
      </c>
    </row>
    <row r="199">
      <c r="A199" s="3">
        <v>189.0</v>
      </c>
      <c r="B199" s="12"/>
      <c r="C199" s="12"/>
      <c r="D199" s="6" t="s">
        <v>1792</v>
      </c>
      <c r="E199" s="7" t="s">
        <v>1802</v>
      </c>
      <c r="F199" s="6" t="s">
        <v>1803</v>
      </c>
      <c r="G199" s="8" t="s">
        <v>1804</v>
      </c>
      <c r="H199" s="6" t="s">
        <v>1805</v>
      </c>
      <c r="I199" s="6" t="s">
        <v>1806</v>
      </c>
      <c r="J199" s="6" t="s">
        <v>1807</v>
      </c>
      <c r="K199" s="6" t="s">
        <v>1808</v>
      </c>
      <c r="L199" s="9" t="s">
        <v>25</v>
      </c>
      <c r="M199" s="6" t="s">
        <v>1809</v>
      </c>
      <c r="N199" s="6" t="s">
        <v>1810</v>
      </c>
      <c r="O199" s="10" t="s">
        <v>1413</v>
      </c>
    </row>
    <row r="200">
      <c r="A200" s="11">
        <v>190.0</v>
      </c>
      <c r="B200" s="12"/>
      <c r="C200" s="15"/>
      <c r="D200" s="6" t="s">
        <v>1811</v>
      </c>
      <c r="E200" s="7" t="s">
        <v>1812</v>
      </c>
      <c r="F200" s="6" t="s">
        <v>1813</v>
      </c>
      <c r="G200" s="8" t="s">
        <v>1814</v>
      </c>
      <c r="H200" s="6" t="s">
        <v>1815</v>
      </c>
      <c r="I200" s="6" t="s">
        <v>1816</v>
      </c>
      <c r="J200" s="6" t="s">
        <v>1817</v>
      </c>
      <c r="K200" s="6" t="s">
        <v>1818</v>
      </c>
      <c r="L200" s="13" t="s">
        <v>45</v>
      </c>
      <c r="M200" s="6" t="s">
        <v>1819</v>
      </c>
      <c r="N200" s="6" t="s">
        <v>170</v>
      </c>
      <c r="O200" s="10" t="s">
        <v>1331</v>
      </c>
    </row>
    <row r="201">
      <c r="A201" s="3">
        <v>191.0</v>
      </c>
      <c r="B201" s="12"/>
      <c r="C201" s="5" t="s">
        <v>1820</v>
      </c>
      <c r="D201" s="6" t="s">
        <v>1669</v>
      </c>
      <c r="E201" s="7" t="s">
        <v>1821</v>
      </c>
      <c r="F201" s="6" t="s">
        <v>1822</v>
      </c>
      <c r="G201" s="8" t="s">
        <v>1823</v>
      </c>
      <c r="H201" s="6" t="s">
        <v>1824</v>
      </c>
      <c r="I201" s="6" t="s">
        <v>1825</v>
      </c>
      <c r="J201" s="6" t="s">
        <v>1826</v>
      </c>
      <c r="K201" s="6" t="s">
        <v>1827</v>
      </c>
      <c r="L201" s="13" t="s">
        <v>45</v>
      </c>
      <c r="M201" s="6" t="s">
        <v>1828</v>
      </c>
      <c r="N201" s="6" t="s">
        <v>170</v>
      </c>
      <c r="O201" s="10" t="s">
        <v>1642</v>
      </c>
    </row>
    <row r="202">
      <c r="A202" s="11">
        <v>192.0</v>
      </c>
      <c r="B202" s="12"/>
      <c r="C202" s="12"/>
      <c r="D202" s="6" t="s">
        <v>1669</v>
      </c>
      <c r="E202" s="7" t="s">
        <v>1829</v>
      </c>
      <c r="F202" s="6" t="s">
        <v>1830</v>
      </c>
      <c r="G202" s="8" t="s">
        <v>1831</v>
      </c>
      <c r="H202" s="6" t="s">
        <v>1832</v>
      </c>
      <c r="I202" s="6" t="s">
        <v>1833</v>
      </c>
      <c r="J202" s="6" t="s">
        <v>1834</v>
      </c>
      <c r="K202" s="6" t="s">
        <v>1835</v>
      </c>
      <c r="L202" s="13" t="s">
        <v>45</v>
      </c>
      <c r="M202" s="6" t="s">
        <v>1094</v>
      </c>
      <c r="N202" s="6" t="s">
        <v>1836</v>
      </c>
      <c r="O202" s="10" t="s">
        <v>1308</v>
      </c>
    </row>
    <row r="203">
      <c r="A203" s="3">
        <v>193.0</v>
      </c>
      <c r="B203" s="12"/>
      <c r="C203" s="15"/>
      <c r="D203" s="6" t="s">
        <v>1669</v>
      </c>
      <c r="E203" s="7" t="s">
        <v>1837</v>
      </c>
      <c r="F203" s="6" t="s">
        <v>1838</v>
      </c>
      <c r="G203" s="8" t="s">
        <v>1839</v>
      </c>
      <c r="H203" s="6" t="s">
        <v>1840</v>
      </c>
      <c r="I203" s="6" t="s">
        <v>1841</v>
      </c>
      <c r="J203" s="6" t="s">
        <v>1842</v>
      </c>
      <c r="K203" s="6" t="s">
        <v>1843</v>
      </c>
      <c r="L203" s="9" t="s">
        <v>25</v>
      </c>
      <c r="M203" s="6" t="s">
        <v>1844</v>
      </c>
      <c r="N203" s="6" t="s">
        <v>1845</v>
      </c>
      <c r="O203" s="10" t="s">
        <v>1846</v>
      </c>
    </row>
    <row r="204">
      <c r="A204" s="11">
        <v>194.0</v>
      </c>
      <c r="B204" s="12"/>
      <c r="C204" s="19" t="s">
        <v>1847</v>
      </c>
      <c r="D204" s="6" t="s">
        <v>1606</v>
      </c>
      <c r="E204" s="7" t="s">
        <v>1848</v>
      </c>
      <c r="F204" s="6" t="s">
        <v>1849</v>
      </c>
      <c r="G204" s="8" t="s">
        <v>1850</v>
      </c>
      <c r="H204" s="6" t="s">
        <v>1851</v>
      </c>
      <c r="I204" s="6" t="s">
        <v>1852</v>
      </c>
      <c r="J204" s="6" t="s">
        <v>1853</v>
      </c>
      <c r="K204" s="6" t="s">
        <v>1854</v>
      </c>
      <c r="L204" s="13" t="s">
        <v>45</v>
      </c>
      <c r="M204" s="6" t="s">
        <v>1855</v>
      </c>
      <c r="N204" s="6" t="s">
        <v>1633</v>
      </c>
      <c r="O204" s="10" t="s">
        <v>1856</v>
      </c>
    </row>
    <row r="205">
      <c r="A205" s="3">
        <v>195.0</v>
      </c>
      <c r="B205" s="12"/>
      <c r="C205" s="22" t="s">
        <v>1857</v>
      </c>
      <c r="D205" s="6" t="s">
        <v>1669</v>
      </c>
      <c r="E205" s="7" t="s">
        <v>1858</v>
      </c>
      <c r="F205" s="6" t="s">
        <v>1859</v>
      </c>
      <c r="G205" s="8" t="s">
        <v>1860</v>
      </c>
      <c r="H205" s="6" t="s">
        <v>1861</v>
      </c>
      <c r="I205" s="6" t="s">
        <v>1862</v>
      </c>
      <c r="J205" s="6" t="s">
        <v>1863</v>
      </c>
      <c r="K205" s="6" t="s">
        <v>1864</v>
      </c>
      <c r="L205" s="13" t="s">
        <v>45</v>
      </c>
      <c r="M205" s="6" t="s">
        <v>1865</v>
      </c>
      <c r="N205" s="6" t="s">
        <v>170</v>
      </c>
      <c r="O205" s="10" t="s">
        <v>703</v>
      </c>
    </row>
    <row r="206">
      <c r="A206" s="11">
        <v>196.0</v>
      </c>
      <c r="B206" s="12"/>
      <c r="C206" s="16" t="s">
        <v>1866</v>
      </c>
      <c r="D206" s="6" t="s">
        <v>1606</v>
      </c>
      <c r="E206" s="7" t="s">
        <v>1867</v>
      </c>
      <c r="F206" s="6" t="s">
        <v>1868</v>
      </c>
      <c r="G206" s="8" t="s">
        <v>1869</v>
      </c>
      <c r="H206" s="6" t="s">
        <v>1870</v>
      </c>
      <c r="I206" s="6" t="s">
        <v>1871</v>
      </c>
      <c r="J206" s="6" t="s">
        <v>1872</v>
      </c>
      <c r="K206" s="6" t="s">
        <v>1873</v>
      </c>
      <c r="L206" s="9" t="s">
        <v>25</v>
      </c>
      <c r="M206" s="6" t="s">
        <v>1874</v>
      </c>
      <c r="N206" s="6" t="s">
        <v>1875</v>
      </c>
      <c r="O206" s="10" t="s">
        <v>1876</v>
      </c>
    </row>
    <row r="207">
      <c r="A207" s="3">
        <v>197.0</v>
      </c>
      <c r="B207" s="12"/>
      <c r="C207" s="12"/>
      <c r="D207" s="6" t="s">
        <v>1606</v>
      </c>
      <c r="E207" s="7" t="s">
        <v>1877</v>
      </c>
      <c r="F207" s="6" t="s">
        <v>1878</v>
      </c>
      <c r="G207" s="8" t="s">
        <v>1879</v>
      </c>
      <c r="H207" s="6" t="s">
        <v>1880</v>
      </c>
      <c r="I207" s="6" t="s">
        <v>691</v>
      </c>
      <c r="J207" s="6" t="s">
        <v>692</v>
      </c>
      <c r="K207" s="6" t="s">
        <v>693</v>
      </c>
      <c r="L207" s="9" t="s">
        <v>25</v>
      </c>
      <c r="M207" s="6" t="s">
        <v>636</v>
      </c>
      <c r="N207" s="6" t="s">
        <v>1633</v>
      </c>
      <c r="O207" s="10" t="s">
        <v>1642</v>
      </c>
    </row>
    <row r="208">
      <c r="A208" s="11">
        <v>198.0</v>
      </c>
      <c r="B208" s="12"/>
      <c r="C208" s="12"/>
      <c r="D208" s="6" t="s">
        <v>1606</v>
      </c>
      <c r="E208" s="7" t="s">
        <v>1881</v>
      </c>
      <c r="F208" s="6" t="s">
        <v>1882</v>
      </c>
      <c r="G208" s="8" t="s">
        <v>1883</v>
      </c>
      <c r="H208" s="6" t="s">
        <v>1884</v>
      </c>
      <c r="I208" s="6" t="s">
        <v>1885</v>
      </c>
      <c r="J208" s="6" t="s">
        <v>1886</v>
      </c>
      <c r="K208" s="6" t="s">
        <v>1887</v>
      </c>
      <c r="L208" s="13" t="s">
        <v>45</v>
      </c>
      <c r="M208" s="6" t="s">
        <v>1888</v>
      </c>
      <c r="N208" s="6" t="s">
        <v>1889</v>
      </c>
      <c r="O208" s="10" t="s">
        <v>1890</v>
      </c>
    </row>
    <row r="209">
      <c r="A209" s="3">
        <v>199.0</v>
      </c>
      <c r="B209" s="12"/>
      <c r="C209" s="15"/>
      <c r="D209" s="6" t="s">
        <v>1606</v>
      </c>
      <c r="E209" s="7" t="s">
        <v>1891</v>
      </c>
      <c r="F209" s="6" t="s">
        <v>1892</v>
      </c>
      <c r="G209" s="8" t="s">
        <v>1893</v>
      </c>
      <c r="H209" s="6" t="s">
        <v>1894</v>
      </c>
      <c r="I209" s="6" t="s">
        <v>1895</v>
      </c>
      <c r="J209" s="6" t="s">
        <v>1896</v>
      </c>
      <c r="K209" s="6" t="s">
        <v>1897</v>
      </c>
      <c r="L209" s="9" t="s">
        <v>25</v>
      </c>
      <c r="M209" s="6" t="s">
        <v>1632</v>
      </c>
      <c r="N209" s="6" t="s">
        <v>1898</v>
      </c>
      <c r="O209" s="10" t="s">
        <v>1899</v>
      </c>
    </row>
    <row r="210">
      <c r="A210" s="11">
        <v>200.0</v>
      </c>
      <c r="B210" s="12"/>
      <c r="C210" s="16" t="s">
        <v>1900</v>
      </c>
      <c r="D210" s="6" t="s">
        <v>1606</v>
      </c>
      <c r="E210" s="7" t="s">
        <v>1901</v>
      </c>
      <c r="F210" s="6" t="s">
        <v>1902</v>
      </c>
      <c r="G210" s="8" t="s">
        <v>1903</v>
      </c>
      <c r="H210" s="6" t="s">
        <v>1904</v>
      </c>
      <c r="I210" s="6" t="s">
        <v>1905</v>
      </c>
      <c r="J210" s="6" t="s">
        <v>1906</v>
      </c>
      <c r="K210" s="6" t="s">
        <v>1907</v>
      </c>
      <c r="L210" s="9" t="s">
        <v>25</v>
      </c>
      <c r="M210" s="6" t="s">
        <v>1908</v>
      </c>
      <c r="N210" s="6" t="s">
        <v>1909</v>
      </c>
      <c r="O210" s="10" t="s">
        <v>1642</v>
      </c>
    </row>
    <row r="211">
      <c r="A211" s="3">
        <v>201.0</v>
      </c>
      <c r="B211" s="12"/>
      <c r="C211" s="12"/>
      <c r="D211" s="6" t="s">
        <v>1606</v>
      </c>
      <c r="E211" s="7" t="s">
        <v>1910</v>
      </c>
      <c r="F211" s="6" t="s">
        <v>1911</v>
      </c>
      <c r="G211" s="8" t="s">
        <v>1912</v>
      </c>
      <c r="H211" s="6" t="s">
        <v>1913</v>
      </c>
      <c r="I211" s="6" t="s">
        <v>1914</v>
      </c>
      <c r="J211" s="6" t="s">
        <v>1915</v>
      </c>
      <c r="K211" s="6" t="s">
        <v>1916</v>
      </c>
      <c r="L211" s="9" t="s">
        <v>25</v>
      </c>
      <c r="M211" s="6" t="s">
        <v>1917</v>
      </c>
      <c r="N211" s="6" t="s">
        <v>1918</v>
      </c>
      <c r="O211" s="10" t="s">
        <v>1642</v>
      </c>
    </row>
    <row r="212">
      <c r="A212" s="11">
        <v>202.0</v>
      </c>
      <c r="B212" s="12"/>
      <c r="C212" s="12"/>
      <c r="D212" s="6" t="s">
        <v>1606</v>
      </c>
      <c r="E212" s="7" t="s">
        <v>1919</v>
      </c>
      <c r="F212" s="6" t="s">
        <v>1920</v>
      </c>
      <c r="G212" s="8" t="s">
        <v>1921</v>
      </c>
      <c r="H212" s="6" t="s">
        <v>1922</v>
      </c>
      <c r="I212" s="6" t="s">
        <v>1923</v>
      </c>
      <c r="J212" s="6" t="s">
        <v>1924</v>
      </c>
      <c r="K212" s="6" t="s">
        <v>1925</v>
      </c>
      <c r="L212" s="9" t="s">
        <v>25</v>
      </c>
      <c r="M212" s="6" t="s">
        <v>1926</v>
      </c>
      <c r="N212" s="6" t="s">
        <v>1927</v>
      </c>
      <c r="O212" s="10" t="s">
        <v>1642</v>
      </c>
    </row>
    <row r="213">
      <c r="A213" s="3">
        <v>203.0</v>
      </c>
      <c r="B213" s="12"/>
      <c r="C213" s="12"/>
      <c r="D213" s="6" t="s">
        <v>1606</v>
      </c>
      <c r="E213" s="7" t="s">
        <v>1928</v>
      </c>
      <c r="F213" s="6" t="s">
        <v>1929</v>
      </c>
      <c r="G213" s="8" t="s">
        <v>1930</v>
      </c>
      <c r="H213" s="6" t="s">
        <v>1931</v>
      </c>
      <c r="I213" s="6" t="s">
        <v>1932</v>
      </c>
      <c r="J213" s="6" t="s">
        <v>1933</v>
      </c>
      <c r="K213" s="6" t="s">
        <v>1934</v>
      </c>
      <c r="L213" s="9" t="s">
        <v>25</v>
      </c>
      <c r="M213" s="6" t="s">
        <v>1935</v>
      </c>
      <c r="N213" s="6" t="s">
        <v>1898</v>
      </c>
      <c r="O213" s="10" t="s">
        <v>1642</v>
      </c>
    </row>
    <row r="214">
      <c r="A214" s="11">
        <v>204.0</v>
      </c>
      <c r="B214" s="12"/>
      <c r="C214" s="15"/>
      <c r="D214" s="6" t="s">
        <v>1606</v>
      </c>
      <c r="E214" s="7" t="s">
        <v>1936</v>
      </c>
      <c r="F214" s="6" t="s">
        <v>1937</v>
      </c>
      <c r="G214" s="8" t="s">
        <v>1938</v>
      </c>
      <c r="H214" s="6" t="s">
        <v>1939</v>
      </c>
      <c r="I214" s="6" t="s">
        <v>1940</v>
      </c>
      <c r="J214" s="6" t="s">
        <v>1941</v>
      </c>
      <c r="K214" s="6" t="s">
        <v>1942</v>
      </c>
      <c r="L214" s="13" t="s">
        <v>45</v>
      </c>
      <c r="M214" s="6" t="s">
        <v>1943</v>
      </c>
      <c r="N214" s="6" t="s">
        <v>1944</v>
      </c>
      <c r="O214" s="10" t="s">
        <v>1331</v>
      </c>
    </row>
    <row r="215">
      <c r="A215" s="3">
        <v>205.0</v>
      </c>
      <c r="B215" s="12"/>
      <c r="C215" s="5" t="s">
        <v>1945</v>
      </c>
      <c r="D215" s="6" t="s">
        <v>1601</v>
      </c>
      <c r="E215" s="7" t="s">
        <v>1946</v>
      </c>
      <c r="F215" s="6" t="s">
        <v>1947</v>
      </c>
      <c r="G215" s="8" t="s">
        <v>1948</v>
      </c>
      <c r="H215" s="6" t="s">
        <v>1949</v>
      </c>
      <c r="I215" s="6" t="s">
        <v>1950</v>
      </c>
      <c r="J215" s="6" t="s">
        <v>1951</v>
      </c>
      <c r="K215" s="6" t="s">
        <v>1952</v>
      </c>
      <c r="L215" s="13" t="s">
        <v>45</v>
      </c>
      <c r="M215" s="6" t="s">
        <v>1953</v>
      </c>
      <c r="N215" s="6" t="s">
        <v>170</v>
      </c>
      <c r="O215" s="10" t="s">
        <v>1642</v>
      </c>
    </row>
    <row r="216">
      <c r="A216" s="11">
        <v>206.0</v>
      </c>
      <c r="B216" s="12"/>
      <c r="C216" s="12"/>
      <c r="D216" s="6" t="s">
        <v>1601</v>
      </c>
      <c r="E216" s="7" t="s">
        <v>1954</v>
      </c>
      <c r="F216" s="6" t="s">
        <v>1955</v>
      </c>
      <c r="G216" s="8" t="s">
        <v>1956</v>
      </c>
      <c r="H216" s="6" t="s">
        <v>1957</v>
      </c>
      <c r="I216" s="6" t="s">
        <v>1958</v>
      </c>
      <c r="J216" s="6" t="s">
        <v>1959</v>
      </c>
      <c r="K216" s="6" t="s">
        <v>1960</v>
      </c>
      <c r="L216" s="13" t="s">
        <v>45</v>
      </c>
      <c r="M216" s="6" t="s">
        <v>1961</v>
      </c>
      <c r="N216" s="6" t="s">
        <v>170</v>
      </c>
      <c r="O216" s="10" t="s">
        <v>1331</v>
      </c>
    </row>
    <row r="217">
      <c r="A217" s="3">
        <v>207.0</v>
      </c>
      <c r="B217" s="12"/>
      <c r="C217" s="12"/>
      <c r="D217" s="6" t="s">
        <v>1669</v>
      </c>
      <c r="E217" s="7" t="s">
        <v>1962</v>
      </c>
      <c r="F217" s="6" t="s">
        <v>1963</v>
      </c>
      <c r="G217" s="8" t="s">
        <v>1964</v>
      </c>
      <c r="H217" s="6" t="s">
        <v>1965</v>
      </c>
      <c r="I217" s="6" t="s">
        <v>1966</v>
      </c>
      <c r="J217" s="6" t="s">
        <v>1967</v>
      </c>
      <c r="K217" s="6" t="s">
        <v>1968</v>
      </c>
      <c r="L217" s="13" t="s">
        <v>45</v>
      </c>
      <c r="M217" s="6" t="s">
        <v>1969</v>
      </c>
      <c r="N217" s="6" t="s">
        <v>170</v>
      </c>
      <c r="O217" s="10" t="s">
        <v>1331</v>
      </c>
    </row>
    <row r="218">
      <c r="A218" s="11">
        <v>208.0</v>
      </c>
      <c r="B218" s="12"/>
      <c r="C218" s="12"/>
      <c r="D218" s="6" t="s">
        <v>1669</v>
      </c>
      <c r="E218" s="7" t="s">
        <v>1970</v>
      </c>
      <c r="F218" s="6" t="s">
        <v>1971</v>
      </c>
      <c r="G218" s="8" t="s">
        <v>1972</v>
      </c>
      <c r="H218" s="6" t="s">
        <v>1973</v>
      </c>
      <c r="I218" s="6" t="s">
        <v>1974</v>
      </c>
      <c r="J218" s="6" t="s">
        <v>1975</v>
      </c>
      <c r="K218" s="6" t="s">
        <v>1976</v>
      </c>
      <c r="L218" s="13" t="s">
        <v>45</v>
      </c>
      <c r="M218" s="6" t="s">
        <v>1969</v>
      </c>
      <c r="N218" s="6" t="s">
        <v>170</v>
      </c>
      <c r="O218" s="10" t="s">
        <v>1331</v>
      </c>
    </row>
    <row r="219">
      <c r="A219" s="3">
        <v>209.0</v>
      </c>
      <c r="B219" s="12"/>
      <c r="C219" s="12"/>
      <c r="D219" s="6" t="s">
        <v>1669</v>
      </c>
      <c r="E219" s="7" t="s">
        <v>1977</v>
      </c>
      <c r="F219" s="6" t="s">
        <v>1978</v>
      </c>
      <c r="G219" s="8" t="s">
        <v>1979</v>
      </c>
      <c r="H219" s="6" t="s">
        <v>1980</v>
      </c>
      <c r="I219" s="6" t="s">
        <v>1981</v>
      </c>
      <c r="J219" s="6" t="s">
        <v>1982</v>
      </c>
      <c r="K219" s="6" t="s">
        <v>1983</v>
      </c>
      <c r="L219" s="13" t="s">
        <v>45</v>
      </c>
      <c r="M219" s="6" t="s">
        <v>1984</v>
      </c>
      <c r="N219" s="6" t="s">
        <v>170</v>
      </c>
      <c r="O219" s="10" t="s">
        <v>1331</v>
      </c>
    </row>
    <row r="220">
      <c r="A220" s="11">
        <v>210.0</v>
      </c>
      <c r="B220" s="12"/>
      <c r="C220" s="12"/>
      <c r="D220" s="6" t="s">
        <v>1669</v>
      </c>
      <c r="E220" s="7" t="s">
        <v>1985</v>
      </c>
      <c r="F220" s="6" t="s">
        <v>1986</v>
      </c>
      <c r="G220" s="8" t="s">
        <v>1987</v>
      </c>
      <c r="H220" s="6" t="s">
        <v>1988</v>
      </c>
      <c r="I220" s="6" t="s">
        <v>1989</v>
      </c>
      <c r="J220" s="6" t="s">
        <v>1990</v>
      </c>
      <c r="K220" s="6" t="s">
        <v>1991</v>
      </c>
      <c r="L220" s="13" t="s">
        <v>45</v>
      </c>
      <c r="M220" s="6" t="s">
        <v>1992</v>
      </c>
      <c r="N220" s="6" t="s">
        <v>170</v>
      </c>
      <c r="O220" s="10" t="s">
        <v>1856</v>
      </c>
    </row>
    <row r="221">
      <c r="A221" s="3">
        <v>211.0</v>
      </c>
      <c r="B221" s="12"/>
      <c r="C221" s="12"/>
      <c r="D221" s="6" t="s">
        <v>1669</v>
      </c>
      <c r="E221" s="7" t="s">
        <v>1993</v>
      </c>
      <c r="F221" s="6" t="s">
        <v>1994</v>
      </c>
      <c r="G221" s="8" t="s">
        <v>1995</v>
      </c>
      <c r="H221" s="6" t="s">
        <v>1996</v>
      </c>
      <c r="I221" s="6" t="s">
        <v>1997</v>
      </c>
      <c r="J221" s="6" t="s">
        <v>1998</v>
      </c>
      <c r="K221" s="6" t="s">
        <v>1999</v>
      </c>
      <c r="L221" s="13" t="s">
        <v>45</v>
      </c>
      <c r="M221" s="6" t="s">
        <v>2000</v>
      </c>
      <c r="N221" s="6" t="s">
        <v>1633</v>
      </c>
      <c r="O221" s="10" t="s">
        <v>1331</v>
      </c>
    </row>
    <row r="222">
      <c r="A222" s="11">
        <v>212.0</v>
      </c>
      <c r="B222" s="12"/>
      <c r="C222" s="12"/>
      <c r="D222" s="6" t="s">
        <v>1601</v>
      </c>
      <c r="E222" s="7" t="s">
        <v>2001</v>
      </c>
      <c r="F222" s="6" t="s">
        <v>2002</v>
      </c>
      <c r="G222" s="8" t="s">
        <v>2003</v>
      </c>
      <c r="H222" s="6" t="s">
        <v>2004</v>
      </c>
      <c r="I222" s="6" t="s">
        <v>2005</v>
      </c>
      <c r="J222" s="6" t="s">
        <v>2006</v>
      </c>
      <c r="K222" s="6" t="s">
        <v>2007</v>
      </c>
      <c r="L222" s="9" t="s">
        <v>25</v>
      </c>
      <c r="M222" s="6" t="s">
        <v>2008</v>
      </c>
      <c r="N222" s="6" t="s">
        <v>2009</v>
      </c>
      <c r="O222" s="10" t="s">
        <v>1331</v>
      </c>
    </row>
    <row r="223">
      <c r="A223" s="3">
        <v>213.0</v>
      </c>
      <c r="B223" s="12"/>
      <c r="C223" s="12"/>
      <c r="D223" s="6" t="s">
        <v>1601</v>
      </c>
      <c r="E223" s="7" t="s">
        <v>2010</v>
      </c>
      <c r="F223" s="6" t="s">
        <v>2011</v>
      </c>
      <c r="G223" s="8" t="s">
        <v>2012</v>
      </c>
      <c r="H223" s="6" t="s">
        <v>2013</v>
      </c>
      <c r="I223" s="6" t="s">
        <v>2014</v>
      </c>
      <c r="J223" s="6" t="s">
        <v>2015</v>
      </c>
      <c r="K223" s="6" t="s">
        <v>2016</v>
      </c>
      <c r="L223" s="13" t="s">
        <v>45</v>
      </c>
      <c r="M223" s="6" t="s">
        <v>2017</v>
      </c>
      <c r="N223" s="6" t="s">
        <v>170</v>
      </c>
      <c r="O223" s="10" t="s">
        <v>1642</v>
      </c>
    </row>
    <row r="224">
      <c r="A224" s="11">
        <v>224.0</v>
      </c>
      <c r="B224" s="12"/>
      <c r="C224" s="12"/>
      <c r="D224" s="6" t="s">
        <v>1601</v>
      </c>
      <c r="E224" s="7" t="s">
        <v>2018</v>
      </c>
      <c r="F224" s="6" t="s">
        <v>2019</v>
      </c>
      <c r="G224" s="8" t="s">
        <v>2020</v>
      </c>
      <c r="H224" s="6" t="s">
        <v>2021</v>
      </c>
      <c r="I224" s="6" t="s">
        <v>2022</v>
      </c>
      <c r="J224" s="6" t="s">
        <v>2023</v>
      </c>
      <c r="K224" s="6" t="s">
        <v>2024</v>
      </c>
      <c r="L224" s="9" t="s">
        <v>45</v>
      </c>
      <c r="M224" s="6" t="s">
        <v>2025</v>
      </c>
      <c r="N224" s="6" t="s">
        <v>170</v>
      </c>
      <c r="O224" s="10" t="s">
        <v>1642</v>
      </c>
    </row>
    <row r="225">
      <c r="A225" s="11">
        <v>214.0</v>
      </c>
      <c r="B225" s="12"/>
      <c r="C225" s="12"/>
      <c r="D225" s="6" t="s">
        <v>1601</v>
      </c>
      <c r="E225" s="7" t="s">
        <v>2026</v>
      </c>
      <c r="F225" s="6" t="s">
        <v>2027</v>
      </c>
      <c r="G225" s="8" t="s">
        <v>2028</v>
      </c>
      <c r="H225" s="6" t="s">
        <v>2029</v>
      </c>
      <c r="I225" s="6" t="s">
        <v>691</v>
      </c>
      <c r="J225" s="6" t="s">
        <v>692</v>
      </c>
      <c r="K225" s="6" t="s">
        <v>693</v>
      </c>
      <c r="L225" s="9" t="s">
        <v>25</v>
      </c>
      <c r="M225" s="6" t="s">
        <v>636</v>
      </c>
      <c r="N225" s="6" t="s">
        <v>1633</v>
      </c>
      <c r="O225" s="10" t="s">
        <v>1642</v>
      </c>
    </row>
    <row r="226">
      <c r="A226" s="11">
        <v>225.0</v>
      </c>
      <c r="B226" s="15"/>
      <c r="C226" s="15"/>
      <c r="D226" s="6" t="s">
        <v>1601</v>
      </c>
      <c r="E226" s="7" t="s">
        <v>2030</v>
      </c>
      <c r="F226" s="6" t="s">
        <v>2031</v>
      </c>
      <c r="G226" s="8" t="s">
        <v>2032</v>
      </c>
      <c r="H226" s="6" t="s">
        <v>2033</v>
      </c>
      <c r="I226" s="6" t="s">
        <v>2034</v>
      </c>
      <c r="J226" s="6" t="s">
        <v>2035</v>
      </c>
      <c r="K226" s="6" t="s">
        <v>2036</v>
      </c>
      <c r="L226" s="9" t="s">
        <v>45</v>
      </c>
      <c r="M226" s="6" t="s">
        <v>2037</v>
      </c>
      <c r="N226" s="6" t="s">
        <v>1633</v>
      </c>
      <c r="O226" s="10" t="s">
        <v>1642</v>
      </c>
    </row>
    <row r="227">
      <c r="A227" s="25"/>
      <c r="B227" s="26"/>
      <c r="C227" s="26"/>
      <c r="D227" s="26"/>
      <c r="E227" s="26"/>
      <c r="F227" s="26"/>
      <c r="G227" s="26"/>
      <c r="H227" s="26"/>
      <c r="I227" s="26"/>
      <c r="J227" s="26"/>
      <c r="K227" s="26"/>
      <c r="L227" s="26"/>
      <c r="M227" s="26"/>
      <c r="N227" s="26"/>
      <c r="O227" s="27"/>
    </row>
    <row r="228">
      <c r="A228" s="28"/>
      <c r="O228" s="29"/>
    </row>
    <row r="229">
      <c r="A229" s="28"/>
      <c r="O229" s="29"/>
    </row>
    <row r="230">
      <c r="A230" s="28"/>
      <c r="O230" s="29"/>
    </row>
    <row r="231">
      <c r="A231" s="28"/>
      <c r="O231" s="29"/>
    </row>
    <row r="232">
      <c r="A232" s="28"/>
      <c r="O232" s="29"/>
    </row>
    <row r="233">
      <c r="A233" s="28"/>
      <c r="O233" s="29"/>
    </row>
    <row r="234">
      <c r="A234" s="28"/>
      <c r="O234" s="29"/>
    </row>
    <row r="235">
      <c r="A235" s="28"/>
      <c r="O235" s="29"/>
    </row>
    <row r="236">
      <c r="A236" s="28"/>
      <c r="O236" s="29"/>
    </row>
    <row r="237">
      <c r="A237" s="30"/>
      <c r="B237" s="31"/>
      <c r="C237" s="31"/>
      <c r="D237" s="31"/>
      <c r="E237" s="31"/>
      <c r="F237" s="31"/>
      <c r="G237" s="31"/>
      <c r="H237" s="31"/>
      <c r="I237" s="31"/>
      <c r="J237" s="31"/>
      <c r="K237" s="31"/>
      <c r="L237" s="31"/>
      <c r="M237" s="31"/>
      <c r="N237" s="31"/>
      <c r="O237" s="32"/>
    </row>
    <row r="238">
      <c r="A238" s="33"/>
      <c r="B238" s="34"/>
      <c r="C238" s="34"/>
      <c r="D238" s="35"/>
      <c r="E238" s="35"/>
      <c r="F238" s="35"/>
      <c r="G238" s="35"/>
      <c r="H238" s="34"/>
      <c r="I238" s="34"/>
      <c r="J238" s="34"/>
      <c r="K238" s="34"/>
      <c r="L238" s="34"/>
      <c r="M238" s="34"/>
      <c r="N238" s="34"/>
      <c r="O238" s="34"/>
    </row>
    <row r="239">
      <c r="A239" s="33"/>
      <c r="B239" s="34"/>
      <c r="C239" s="34"/>
      <c r="D239" s="35"/>
      <c r="E239" s="35"/>
      <c r="F239" s="35"/>
      <c r="G239" s="35"/>
      <c r="H239" s="34"/>
      <c r="I239" s="34"/>
      <c r="J239" s="34"/>
      <c r="K239" s="34"/>
      <c r="L239" s="34"/>
      <c r="M239" s="34"/>
      <c r="N239" s="34"/>
      <c r="O239" s="34"/>
    </row>
    <row r="240">
      <c r="A240" s="33"/>
      <c r="B240" s="34"/>
      <c r="C240" s="34"/>
      <c r="D240" s="35"/>
      <c r="E240" s="35"/>
      <c r="F240" s="35"/>
      <c r="G240" s="35"/>
      <c r="H240" s="34"/>
      <c r="I240" s="34"/>
      <c r="J240" s="34"/>
      <c r="K240" s="34"/>
      <c r="L240" s="34"/>
      <c r="M240" s="34"/>
      <c r="N240" s="34"/>
      <c r="O240" s="34"/>
    </row>
    <row r="241">
      <c r="A241" s="33"/>
      <c r="B241" s="34"/>
      <c r="C241" s="34"/>
      <c r="D241" s="35"/>
      <c r="E241" s="35"/>
      <c r="F241" s="35"/>
      <c r="G241" s="35"/>
      <c r="H241" s="34"/>
      <c r="I241" s="34"/>
      <c r="J241" s="34"/>
      <c r="K241" s="34"/>
      <c r="L241" s="34"/>
      <c r="M241" s="34"/>
      <c r="N241" s="34"/>
      <c r="O241" s="34"/>
    </row>
    <row r="242">
      <c r="A242" s="33"/>
      <c r="B242" s="34"/>
      <c r="C242" s="34"/>
      <c r="D242" s="35"/>
      <c r="E242" s="35"/>
      <c r="F242" s="35"/>
      <c r="G242" s="35"/>
      <c r="H242" s="34"/>
      <c r="I242" s="34"/>
      <c r="J242" s="34"/>
      <c r="K242" s="34"/>
      <c r="L242" s="34"/>
      <c r="M242" s="34"/>
      <c r="N242" s="34"/>
      <c r="O242" s="34"/>
    </row>
    <row r="243">
      <c r="A243" s="33"/>
      <c r="B243" s="34"/>
      <c r="C243" s="34"/>
      <c r="D243" s="35"/>
      <c r="E243" s="35"/>
      <c r="F243" s="35"/>
      <c r="G243" s="35"/>
      <c r="H243" s="34"/>
      <c r="I243" s="34"/>
      <c r="J243" s="34"/>
      <c r="K243" s="34"/>
      <c r="L243" s="34"/>
      <c r="M243" s="34"/>
      <c r="N243" s="34"/>
      <c r="O243" s="34"/>
    </row>
    <row r="244">
      <c r="A244" s="33"/>
      <c r="B244" s="34"/>
      <c r="C244" s="34"/>
      <c r="D244" s="35"/>
      <c r="E244" s="35"/>
      <c r="F244" s="35"/>
      <c r="G244" s="35"/>
      <c r="H244" s="34"/>
      <c r="I244" s="34"/>
      <c r="J244" s="34"/>
      <c r="K244" s="34"/>
      <c r="L244" s="34"/>
      <c r="M244" s="34"/>
      <c r="N244" s="34"/>
      <c r="O244" s="34"/>
    </row>
    <row r="245">
      <c r="A245" s="33"/>
      <c r="B245" s="34"/>
      <c r="C245" s="34"/>
      <c r="D245" s="35"/>
      <c r="E245" s="35"/>
      <c r="F245" s="35"/>
      <c r="G245" s="35"/>
      <c r="H245" s="34"/>
      <c r="I245" s="34"/>
      <c r="J245" s="34"/>
      <c r="K245" s="34"/>
      <c r="L245" s="34"/>
      <c r="M245" s="34"/>
      <c r="N245" s="34"/>
      <c r="O245" s="34"/>
    </row>
    <row r="246">
      <c r="A246" s="33"/>
      <c r="B246" s="34"/>
      <c r="C246" s="34"/>
      <c r="D246" s="35"/>
      <c r="E246" s="35"/>
      <c r="F246" s="35"/>
      <c r="G246" s="35"/>
      <c r="H246" s="34"/>
      <c r="I246" s="34"/>
      <c r="J246" s="34"/>
      <c r="K246" s="34"/>
      <c r="L246" s="34"/>
      <c r="M246" s="34"/>
      <c r="N246" s="34"/>
      <c r="O246" s="34"/>
    </row>
    <row r="247">
      <c r="A247" s="33"/>
      <c r="B247" s="34"/>
      <c r="C247" s="34"/>
      <c r="D247" s="35"/>
      <c r="E247" s="35"/>
      <c r="F247" s="35"/>
      <c r="G247" s="35"/>
      <c r="H247" s="34"/>
      <c r="I247" s="34"/>
      <c r="J247" s="34"/>
      <c r="K247" s="34"/>
      <c r="L247" s="34"/>
      <c r="M247" s="34"/>
      <c r="N247" s="34"/>
      <c r="O247" s="34"/>
    </row>
    <row r="248">
      <c r="A248" s="33"/>
      <c r="B248" s="34"/>
      <c r="C248" s="34"/>
      <c r="D248" s="35"/>
      <c r="E248" s="35"/>
      <c r="F248" s="35"/>
      <c r="G248" s="35"/>
      <c r="H248" s="34"/>
      <c r="I248" s="34"/>
      <c r="J248" s="34"/>
      <c r="K248" s="34"/>
      <c r="L248" s="34"/>
      <c r="M248" s="34"/>
      <c r="N248" s="34"/>
      <c r="O248" s="34"/>
    </row>
    <row r="249">
      <c r="A249" s="33"/>
      <c r="B249" s="34"/>
      <c r="C249" s="34"/>
      <c r="D249" s="35"/>
      <c r="E249" s="35"/>
      <c r="F249" s="35"/>
      <c r="G249" s="35"/>
      <c r="H249" s="34"/>
      <c r="I249" s="34"/>
      <c r="J249" s="34"/>
      <c r="K249" s="34"/>
      <c r="L249" s="34"/>
      <c r="M249" s="34"/>
      <c r="N249" s="34"/>
      <c r="O249" s="34"/>
    </row>
    <row r="250">
      <c r="A250" s="33"/>
      <c r="B250" s="34"/>
      <c r="C250" s="34"/>
      <c r="D250" s="35"/>
      <c r="E250" s="35"/>
      <c r="F250" s="35"/>
      <c r="G250" s="35"/>
      <c r="H250" s="34"/>
      <c r="I250" s="34"/>
      <c r="J250" s="34"/>
      <c r="K250" s="34"/>
      <c r="L250" s="34"/>
      <c r="M250" s="34"/>
      <c r="N250" s="34"/>
      <c r="O250" s="34"/>
    </row>
    <row r="251">
      <c r="A251" s="33"/>
      <c r="B251" s="34"/>
      <c r="C251" s="34"/>
      <c r="D251" s="35"/>
      <c r="E251" s="35"/>
      <c r="F251" s="35"/>
      <c r="G251" s="35"/>
      <c r="H251" s="34"/>
      <c r="I251" s="34"/>
      <c r="J251" s="34"/>
      <c r="K251" s="34"/>
      <c r="L251" s="34"/>
      <c r="M251" s="34"/>
      <c r="N251" s="34"/>
      <c r="O251" s="34"/>
    </row>
    <row r="252">
      <c r="A252" s="33"/>
      <c r="B252" s="34"/>
      <c r="C252" s="34"/>
      <c r="D252" s="35"/>
      <c r="E252" s="35"/>
      <c r="F252" s="35"/>
      <c r="G252" s="35"/>
      <c r="H252" s="34"/>
      <c r="I252" s="34"/>
      <c r="J252" s="34"/>
      <c r="K252" s="34"/>
      <c r="L252" s="34"/>
      <c r="M252" s="34"/>
      <c r="N252" s="34"/>
      <c r="O252" s="34"/>
    </row>
    <row r="253">
      <c r="A253" s="33"/>
      <c r="B253" s="34"/>
      <c r="C253" s="34"/>
      <c r="D253" s="35"/>
      <c r="E253" s="35"/>
      <c r="F253" s="35"/>
      <c r="G253" s="35"/>
      <c r="H253" s="34"/>
      <c r="I253" s="34"/>
      <c r="J253" s="34"/>
      <c r="K253" s="34"/>
      <c r="L253" s="34"/>
      <c r="M253" s="34"/>
      <c r="N253" s="34"/>
      <c r="O253" s="34"/>
    </row>
    <row r="254">
      <c r="A254" s="33"/>
      <c r="B254" s="34"/>
      <c r="C254" s="34"/>
      <c r="D254" s="35"/>
      <c r="E254" s="35"/>
      <c r="F254" s="35"/>
      <c r="G254" s="35"/>
      <c r="H254" s="34"/>
      <c r="I254" s="34"/>
      <c r="J254" s="34"/>
      <c r="K254" s="34"/>
      <c r="L254" s="34"/>
      <c r="M254" s="34"/>
      <c r="N254" s="34"/>
      <c r="O254" s="34"/>
    </row>
    <row r="255">
      <c r="A255" s="33"/>
      <c r="B255" s="34"/>
      <c r="C255" s="34"/>
      <c r="D255" s="35"/>
      <c r="E255" s="35"/>
      <c r="F255" s="35"/>
      <c r="G255" s="35"/>
      <c r="H255" s="34"/>
      <c r="I255" s="34"/>
      <c r="J255" s="34"/>
      <c r="K255" s="34"/>
      <c r="L255" s="34"/>
      <c r="M255" s="34"/>
      <c r="N255" s="34"/>
      <c r="O255" s="34"/>
    </row>
    <row r="256">
      <c r="A256" s="33"/>
      <c r="B256" s="34"/>
      <c r="C256" s="34"/>
      <c r="D256" s="35"/>
      <c r="E256" s="35"/>
      <c r="F256" s="35"/>
      <c r="G256" s="35"/>
      <c r="H256" s="34"/>
      <c r="I256" s="34"/>
      <c r="J256" s="34"/>
      <c r="K256" s="34"/>
      <c r="L256" s="34"/>
      <c r="M256" s="34"/>
      <c r="N256" s="34"/>
      <c r="O256" s="34"/>
    </row>
    <row r="257">
      <c r="A257" s="33"/>
      <c r="B257" s="34"/>
      <c r="C257" s="34"/>
      <c r="D257" s="35"/>
      <c r="E257" s="35"/>
      <c r="F257" s="35"/>
      <c r="G257" s="35"/>
      <c r="H257" s="34"/>
      <c r="I257" s="34"/>
      <c r="J257" s="34"/>
      <c r="K257" s="34"/>
      <c r="L257" s="34"/>
      <c r="M257" s="34"/>
      <c r="N257" s="34"/>
      <c r="O257" s="34"/>
    </row>
    <row r="258">
      <c r="A258" s="33"/>
      <c r="B258" s="34"/>
      <c r="C258" s="34"/>
      <c r="D258" s="35"/>
      <c r="E258" s="35"/>
      <c r="F258" s="35"/>
      <c r="G258" s="35"/>
      <c r="H258" s="34"/>
      <c r="I258" s="34"/>
      <c r="J258" s="34"/>
      <c r="K258" s="34"/>
      <c r="L258" s="34"/>
      <c r="M258" s="34"/>
      <c r="N258" s="34"/>
      <c r="O258" s="34"/>
    </row>
    <row r="259">
      <c r="A259" s="33"/>
      <c r="B259" s="34"/>
      <c r="C259" s="34"/>
      <c r="D259" s="35"/>
      <c r="E259" s="35"/>
      <c r="F259" s="35"/>
      <c r="G259" s="35"/>
      <c r="H259" s="34"/>
      <c r="I259" s="34"/>
      <c r="J259" s="34"/>
      <c r="K259" s="34"/>
      <c r="L259" s="34"/>
      <c r="M259" s="34"/>
      <c r="N259" s="34"/>
      <c r="O259" s="34"/>
    </row>
    <row r="260">
      <c r="A260" s="33"/>
      <c r="B260" s="34"/>
      <c r="C260" s="34"/>
      <c r="D260" s="35"/>
      <c r="E260" s="35"/>
      <c r="F260" s="35"/>
      <c r="G260" s="35"/>
      <c r="H260" s="34"/>
      <c r="I260" s="34"/>
      <c r="J260" s="34"/>
      <c r="K260" s="34"/>
      <c r="L260" s="34"/>
      <c r="M260" s="34"/>
      <c r="N260" s="34"/>
      <c r="O260" s="34"/>
    </row>
    <row r="261">
      <c r="A261" s="33"/>
      <c r="B261" s="34"/>
      <c r="C261" s="34"/>
      <c r="D261" s="35"/>
      <c r="E261" s="35"/>
      <c r="F261" s="35"/>
      <c r="G261" s="35"/>
      <c r="H261" s="34"/>
      <c r="I261" s="34"/>
      <c r="J261" s="34"/>
      <c r="K261" s="34"/>
      <c r="L261" s="34"/>
      <c r="M261" s="34"/>
      <c r="N261" s="34"/>
      <c r="O261" s="34"/>
    </row>
    <row r="262">
      <c r="A262" s="33"/>
      <c r="B262" s="34"/>
      <c r="C262" s="34"/>
      <c r="D262" s="35"/>
      <c r="E262" s="35"/>
      <c r="F262" s="35"/>
      <c r="G262" s="35"/>
      <c r="H262" s="34"/>
      <c r="I262" s="34"/>
      <c r="J262" s="34"/>
      <c r="K262" s="34"/>
      <c r="L262" s="34"/>
      <c r="M262" s="34"/>
      <c r="N262" s="34"/>
      <c r="O262" s="34"/>
    </row>
    <row r="263">
      <c r="A263" s="33"/>
      <c r="B263" s="34"/>
      <c r="C263" s="34"/>
      <c r="D263" s="35"/>
      <c r="E263" s="35"/>
      <c r="F263" s="35"/>
      <c r="G263" s="35"/>
      <c r="H263" s="34"/>
      <c r="I263" s="34"/>
      <c r="J263" s="34"/>
      <c r="K263" s="34"/>
      <c r="L263" s="34"/>
      <c r="M263" s="34"/>
      <c r="N263" s="34"/>
      <c r="O263" s="34"/>
    </row>
    <row r="264">
      <c r="A264" s="33"/>
      <c r="B264" s="34"/>
      <c r="C264" s="34"/>
      <c r="D264" s="35"/>
      <c r="E264" s="35"/>
      <c r="F264" s="35"/>
      <c r="G264" s="35"/>
      <c r="H264" s="34"/>
      <c r="I264" s="34"/>
      <c r="J264" s="34"/>
      <c r="K264" s="34"/>
      <c r="L264" s="34"/>
      <c r="M264" s="34"/>
      <c r="N264" s="34"/>
      <c r="O264" s="34"/>
    </row>
    <row r="265">
      <c r="A265" s="33"/>
      <c r="B265" s="34"/>
      <c r="C265" s="34"/>
      <c r="D265" s="35"/>
      <c r="E265" s="35"/>
      <c r="F265" s="35"/>
      <c r="G265" s="35"/>
      <c r="H265" s="34"/>
      <c r="I265" s="34"/>
      <c r="J265" s="34"/>
      <c r="K265" s="34"/>
      <c r="L265" s="34"/>
      <c r="M265" s="34"/>
      <c r="N265" s="34"/>
      <c r="O265" s="34"/>
    </row>
    <row r="266">
      <c r="A266" s="33"/>
      <c r="B266" s="34"/>
      <c r="C266" s="34"/>
      <c r="D266" s="35"/>
      <c r="E266" s="35"/>
      <c r="F266" s="35"/>
      <c r="G266" s="35"/>
      <c r="H266" s="34"/>
      <c r="I266" s="34"/>
      <c r="J266" s="34"/>
      <c r="K266" s="34"/>
      <c r="L266" s="34"/>
      <c r="M266" s="34"/>
      <c r="N266" s="34"/>
      <c r="O266" s="34"/>
    </row>
    <row r="267">
      <c r="A267" s="33"/>
      <c r="B267" s="34"/>
      <c r="C267" s="34"/>
      <c r="D267" s="35"/>
      <c r="E267" s="35"/>
      <c r="F267" s="35"/>
      <c r="G267" s="35"/>
      <c r="H267" s="34"/>
      <c r="I267" s="34"/>
      <c r="J267" s="34"/>
      <c r="K267" s="34"/>
      <c r="L267" s="34"/>
      <c r="M267" s="34"/>
      <c r="N267" s="34"/>
      <c r="O267" s="34"/>
    </row>
    <row r="268">
      <c r="A268" s="33"/>
      <c r="B268" s="34"/>
      <c r="C268" s="34"/>
      <c r="D268" s="35"/>
      <c r="E268" s="35"/>
      <c r="F268" s="35"/>
      <c r="G268" s="35"/>
      <c r="H268" s="34"/>
      <c r="I268" s="34"/>
      <c r="J268" s="34"/>
      <c r="K268" s="34"/>
      <c r="L268" s="34"/>
      <c r="M268" s="34"/>
      <c r="N268" s="34"/>
      <c r="O268" s="34"/>
    </row>
    <row r="269">
      <c r="A269" s="33"/>
      <c r="B269" s="34"/>
      <c r="C269" s="34"/>
      <c r="D269" s="35"/>
      <c r="E269" s="35"/>
      <c r="F269" s="35"/>
      <c r="G269" s="35"/>
      <c r="H269" s="34"/>
      <c r="I269" s="34"/>
      <c r="J269" s="34"/>
      <c r="K269" s="34"/>
      <c r="L269" s="34"/>
      <c r="M269" s="34"/>
      <c r="N269" s="34"/>
      <c r="O269" s="34"/>
    </row>
    <row r="270">
      <c r="A270" s="33"/>
      <c r="B270" s="34"/>
      <c r="C270" s="34"/>
      <c r="D270" s="35"/>
      <c r="E270" s="35"/>
      <c r="F270" s="35"/>
      <c r="G270" s="35"/>
      <c r="H270" s="34"/>
      <c r="I270" s="34"/>
      <c r="J270" s="34"/>
      <c r="K270" s="34"/>
      <c r="L270" s="34"/>
      <c r="M270" s="34"/>
      <c r="N270" s="34"/>
      <c r="O270" s="34"/>
    </row>
    <row r="271">
      <c r="A271" s="33"/>
      <c r="B271" s="34"/>
      <c r="C271" s="34"/>
      <c r="D271" s="35"/>
      <c r="E271" s="35"/>
      <c r="F271" s="35"/>
      <c r="G271" s="35"/>
      <c r="H271" s="34"/>
      <c r="I271" s="34"/>
      <c r="J271" s="34"/>
      <c r="K271" s="34"/>
      <c r="L271" s="34"/>
      <c r="M271" s="34"/>
      <c r="N271" s="34"/>
      <c r="O271" s="34"/>
    </row>
    <row r="272">
      <c r="A272" s="33"/>
      <c r="B272" s="34"/>
      <c r="C272" s="34"/>
      <c r="D272" s="35"/>
      <c r="E272" s="35"/>
      <c r="F272" s="35"/>
      <c r="G272" s="35"/>
      <c r="H272" s="34"/>
      <c r="I272" s="34"/>
      <c r="J272" s="34"/>
      <c r="K272" s="34"/>
      <c r="L272" s="34"/>
      <c r="M272" s="34"/>
      <c r="N272" s="34"/>
      <c r="O272" s="34"/>
    </row>
    <row r="273">
      <c r="A273" s="33"/>
      <c r="B273" s="34"/>
      <c r="C273" s="34"/>
      <c r="D273" s="35"/>
      <c r="E273" s="35"/>
      <c r="F273" s="35"/>
      <c r="G273" s="35"/>
      <c r="H273" s="34"/>
      <c r="I273" s="34"/>
      <c r="J273" s="34"/>
      <c r="K273" s="34"/>
      <c r="L273" s="34"/>
      <c r="M273" s="34"/>
      <c r="N273" s="34"/>
      <c r="O273" s="34"/>
    </row>
    <row r="274">
      <c r="A274" s="33"/>
      <c r="B274" s="34"/>
      <c r="C274" s="34"/>
      <c r="D274" s="35"/>
      <c r="E274" s="35"/>
      <c r="F274" s="35"/>
      <c r="G274" s="35"/>
      <c r="H274" s="34"/>
      <c r="I274" s="34"/>
      <c r="J274" s="34"/>
      <c r="K274" s="34"/>
      <c r="L274" s="34"/>
      <c r="M274" s="34"/>
      <c r="N274" s="34"/>
      <c r="O274" s="34"/>
    </row>
    <row r="275">
      <c r="A275" s="33"/>
      <c r="B275" s="34"/>
      <c r="C275" s="34"/>
      <c r="D275" s="35"/>
      <c r="E275" s="35"/>
      <c r="F275" s="35"/>
      <c r="G275" s="35"/>
      <c r="H275" s="34"/>
      <c r="I275" s="34"/>
      <c r="J275" s="34"/>
      <c r="K275" s="34"/>
      <c r="L275" s="34"/>
      <c r="M275" s="34"/>
      <c r="N275" s="34"/>
      <c r="O275" s="34"/>
    </row>
    <row r="276">
      <c r="A276" s="33"/>
      <c r="B276" s="34"/>
      <c r="C276" s="34"/>
      <c r="D276" s="35"/>
      <c r="E276" s="35"/>
      <c r="F276" s="35"/>
      <c r="G276" s="35"/>
      <c r="H276" s="34"/>
      <c r="I276" s="34"/>
      <c r="J276" s="34"/>
      <c r="K276" s="34"/>
      <c r="L276" s="34"/>
      <c r="M276" s="34"/>
      <c r="N276" s="34"/>
      <c r="O276" s="34"/>
    </row>
    <row r="277">
      <c r="A277" s="33"/>
      <c r="B277" s="34"/>
      <c r="C277" s="34"/>
      <c r="D277" s="35"/>
      <c r="E277" s="35"/>
      <c r="F277" s="35"/>
      <c r="G277" s="35"/>
      <c r="H277" s="34"/>
      <c r="I277" s="34"/>
      <c r="J277" s="34"/>
      <c r="K277" s="34"/>
      <c r="L277" s="34"/>
      <c r="M277" s="34"/>
      <c r="N277" s="34"/>
      <c r="O277" s="34"/>
    </row>
    <row r="278">
      <c r="A278" s="33"/>
      <c r="B278" s="34"/>
      <c r="C278" s="34"/>
      <c r="D278" s="35"/>
      <c r="E278" s="35"/>
      <c r="F278" s="35"/>
      <c r="G278" s="35"/>
      <c r="H278" s="34"/>
      <c r="I278" s="34"/>
      <c r="J278" s="34"/>
      <c r="K278" s="34"/>
      <c r="L278" s="34"/>
      <c r="M278" s="34"/>
      <c r="N278" s="34"/>
      <c r="O278" s="34"/>
    </row>
    <row r="279">
      <c r="A279" s="33"/>
      <c r="B279" s="34"/>
      <c r="C279" s="34"/>
      <c r="D279" s="35"/>
      <c r="E279" s="35"/>
      <c r="F279" s="35"/>
      <c r="G279" s="35"/>
      <c r="H279" s="34"/>
      <c r="I279" s="34"/>
      <c r="J279" s="34"/>
      <c r="K279" s="34"/>
      <c r="L279" s="34"/>
      <c r="M279" s="34"/>
      <c r="N279" s="34"/>
      <c r="O279" s="34"/>
    </row>
    <row r="280">
      <c r="A280" s="33"/>
      <c r="B280" s="34"/>
      <c r="C280" s="34"/>
      <c r="D280" s="35"/>
      <c r="E280" s="35"/>
      <c r="F280" s="35"/>
      <c r="G280" s="35"/>
      <c r="H280" s="34"/>
      <c r="I280" s="34"/>
      <c r="J280" s="34"/>
      <c r="K280" s="34"/>
      <c r="L280" s="34"/>
      <c r="M280" s="34"/>
      <c r="N280" s="34"/>
      <c r="O280" s="34"/>
    </row>
    <row r="281">
      <c r="A281" s="33"/>
      <c r="B281" s="34"/>
      <c r="C281" s="34"/>
      <c r="D281" s="35"/>
      <c r="E281" s="35"/>
      <c r="F281" s="35"/>
      <c r="G281" s="35"/>
      <c r="H281" s="34"/>
      <c r="I281" s="34"/>
      <c r="J281" s="34"/>
      <c r="K281" s="34"/>
      <c r="L281" s="34"/>
      <c r="M281" s="34"/>
      <c r="N281" s="34"/>
      <c r="O281" s="34"/>
    </row>
    <row r="282">
      <c r="A282" s="33"/>
      <c r="B282" s="34"/>
      <c r="C282" s="34"/>
      <c r="D282" s="35"/>
      <c r="E282" s="35"/>
      <c r="F282" s="35"/>
      <c r="G282" s="35"/>
      <c r="H282" s="34"/>
      <c r="I282" s="34"/>
      <c r="J282" s="34"/>
      <c r="K282" s="34"/>
      <c r="L282" s="34"/>
      <c r="M282" s="34"/>
      <c r="N282" s="34"/>
      <c r="O282" s="34"/>
    </row>
    <row r="283">
      <c r="A283" s="33"/>
      <c r="B283" s="34"/>
      <c r="C283" s="34"/>
      <c r="D283" s="35"/>
      <c r="E283" s="35"/>
      <c r="F283" s="35"/>
      <c r="G283" s="35"/>
      <c r="H283" s="34"/>
      <c r="I283" s="34"/>
      <c r="J283" s="34"/>
      <c r="K283" s="34"/>
      <c r="L283" s="34"/>
      <c r="M283" s="34"/>
      <c r="N283" s="34"/>
      <c r="O283" s="34"/>
    </row>
    <row r="284">
      <c r="A284" s="33"/>
      <c r="B284" s="34"/>
      <c r="C284" s="34"/>
      <c r="D284" s="35"/>
      <c r="E284" s="35"/>
      <c r="F284" s="35"/>
      <c r="G284" s="35"/>
      <c r="H284" s="34"/>
      <c r="I284" s="34"/>
      <c r="J284" s="34"/>
      <c r="K284" s="34"/>
      <c r="L284" s="34"/>
      <c r="M284" s="34"/>
      <c r="N284" s="34"/>
      <c r="O284" s="34"/>
    </row>
    <row r="285">
      <c r="A285" s="33"/>
      <c r="B285" s="34"/>
      <c r="C285" s="34"/>
      <c r="D285" s="35"/>
      <c r="E285" s="35"/>
      <c r="F285" s="35"/>
      <c r="G285" s="35"/>
      <c r="H285" s="34"/>
      <c r="I285" s="34"/>
      <c r="J285" s="34"/>
      <c r="K285" s="34"/>
      <c r="L285" s="34"/>
      <c r="M285" s="34"/>
      <c r="N285" s="34"/>
      <c r="O285" s="34"/>
    </row>
    <row r="286">
      <c r="A286" s="33"/>
      <c r="B286" s="34"/>
      <c r="C286" s="34"/>
      <c r="D286" s="35"/>
      <c r="E286" s="35"/>
      <c r="F286" s="35"/>
      <c r="G286" s="35"/>
      <c r="H286" s="34"/>
      <c r="I286" s="34"/>
      <c r="J286" s="34"/>
      <c r="K286" s="34"/>
      <c r="L286" s="34"/>
      <c r="M286" s="34"/>
      <c r="N286" s="34"/>
      <c r="O286" s="34"/>
    </row>
    <row r="287">
      <c r="A287" s="33"/>
      <c r="B287" s="34"/>
      <c r="C287" s="34"/>
      <c r="D287" s="35"/>
      <c r="E287" s="35"/>
      <c r="F287" s="35"/>
      <c r="G287" s="35"/>
      <c r="H287" s="34"/>
      <c r="I287" s="34"/>
      <c r="J287" s="34"/>
      <c r="K287" s="34"/>
      <c r="L287" s="34"/>
      <c r="M287" s="34"/>
      <c r="N287" s="34"/>
      <c r="O287" s="34"/>
    </row>
    <row r="288">
      <c r="A288" s="33"/>
      <c r="B288" s="34"/>
      <c r="C288" s="34"/>
      <c r="D288" s="35"/>
      <c r="E288" s="35"/>
      <c r="F288" s="35"/>
      <c r="G288" s="35"/>
      <c r="H288" s="34"/>
      <c r="I288" s="34"/>
      <c r="J288" s="34"/>
      <c r="K288" s="34"/>
      <c r="L288" s="34"/>
      <c r="M288" s="34"/>
      <c r="N288" s="34"/>
      <c r="O288" s="34"/>
    </row>
    <row r="289">
      <c r="A289" s="33"/>
      <c r="B289" s="34"/>
      <c r="C289" s="34"/>
      <c r="D289" s="35"/>
      <c r="E289" s="35"/>
      <c r="F289" s="35"/>
      <c r="G289" s="35"/>
      <c r="H289" s="34"/>
      <c r="I289" s="34"/>
      <c r="J289" s="34"/>
      <c r="K289" s="34"/>
      <c r="L289" s="34"/>
      <c r="M289" s="34"/>
      <c r="N289" s="34"/>
      <c r="O289" s="34"/>
    </row>
    <row r="290">
      <c r="A290" s="33"/>
      <c r="B290" s="34"/>
      <c r="C290" s="34"/>
      <c r="D290" s="35"/>
      <c r="E290" s="35"/>
      <c r="F290" s="35"/>
      <c r="G290" s="35"/>
      <c r="H290" s="34"/>
      <c r="I290" s="34"/>
      <c r="J290" s="34"/>
      <c r="K290" s="34"/>
      <c r="L290" s="34"/>
      <c r="M290" s="34"/>
      <c r="N290" s="34"/>
      <c r="O290" s="34"/>
    </row>
    <row r="291">
      <c r="A291" s="33"/>
      <c r="B291" s="34"/>
      <c r="C291" s="34"/>
      <c r="D291" s="35"/>
      <c r="E291" s="35"/>
      <c r="F291" s="35"/>
      <c r="G291" s="35"/>
      <c r="H291" s="34"/>
      <c r="I291" s="34"/>
      <c r="J291" s="34"/>
      <c r="K291" s="34"/>
      <c r="L291" s="34"/>
      <c r="M291" s="34"/>
      <c r="N291" s="34"/>
      <c r="O291" s="34"/>
    </row>
    <row r="292">
      <c r="A292" s="33"/>
      <c r="B292" s="34"/>
      <c r="C292" s="34"/>
      <c r="D292" s="35"/>
      <c r="E292" s="35"/>
      <c r="F292" s="35"/>
      <c r="G292" s="35"/>
      <c r="H292" s="34"/>
      <c r="I292" s="34"/>
      <c r="J292" s="34"/>
      <c r="K292" s="34"/>
      <c r="L292" s="34"/>
      <c r="M292" s="34"/>
      <c r="N292" s="34"/>
      <c r="O292" s="34"/>
    </row>
    <row r="293">
      <c r="A293" s="33"/>
      <c r="B293" s="34"/>
      <c r="C293" s="34"/>
      <c r="D293" s="35"/>
      <c r="E293" s="35"/>
      <c r="F293" s="35"/>
      <c r="G293" s="35"/>
      <c r="H293" s="34"/>
      <c r="I293" s="34"/>
      <c r="J293" s="34"/>
      <c r="K293" s="34"/>
      <c r="L293" s="34"/>
      <c r="M293" s="34"/>
      <c r="N293" s="34"/>
      <c r="O293" s="34"/>
    </row>
    <row r="294">
      <c r="A294" s="33"/>
      <c r="B294" s="34"/>
      <c r="C294" s="34"/>
      <c r="D294" s="35"/>
      <c r="E294" s="35"/>
      <c r="F294" s="35"/>
      <c r="G294" s="35"/>
      <c r="H294" s="34"/>
      <c r="I294" s="34"/>
      <c r="J294" s="34"/>
      <c r="K294" s="34"/>
      <c r="L294" s="34"/>
      <c r="M294" s="34"/>
      <c r="N294" s="34"/>
      <c r="O294" s="34"/>
    </row>
    <row r="295">
      <c r="A295" s="33"/>
      <c r="B295" s="34"/>
      <c r="C295" s="34"/>
      <c r="D295" s="35"/>
      <c r="E295" s="35"/>
      <c r="F295" s="35"/>
      <c r="G295" s="35"/>
      <c r="H295" s="34"/>
      <c r="I295" s="34"/>
      <c r="J295" s="34"/>
      <c r="K295" s="34"/>
      <c r="L295" s="34"/>
      <c r="M295" s="34"/>
      <c r="N295" s="34"/>
      <c r="O295" s="34"/>
    </row>
    <row r="296">
      <c r="A296" s="33"/>
      <c r="B296" s="34"/>
      <c r="C296" s="34"/>
      <c r="D296" s="35"/>
      <c r="E296" s="35"/>
      <c r="F296" s="35"/>
      <c r="G296" s="35"/>
      <c r="H296" s="34"/>
      <c r="I296" s="34"/>
      <c r="J296" s="34"/>
      <c r="K296" s="34"/>
      <c r="L296" s="34"/>
      <c r="M296" s="34"/>
      <c r="N296" s="34"/>
      <c r="O296" s="34"/>
    </row>
    <row r="297">
      <c r="A297" s="33"/>
      <c r="B297" s="34"/>
      <c r="C297" s="34"/>
      <c r="D297" s="35"/>
      <c r="E297" s="35"/>
      <c r="F297" s="35"/>
      <c r="G297" s="35"/>
      <c r="H297" s="34"/>
      <c r="I297" s="34"/>
      <c r="J297" s="34"/>
      <c r="K297" s="34"/>
      <c r="L297" s="34"/>
      <c r="M297" s="34"/>
      <c r="N297" s="34"/>
      <c r="O297" s="34"/>
    </row>
    <row r="298">
      <c r="A298" s="33"/>
      <c r="B298" s="34"/>
      <c r="C298" s="34"/>
      <c r="D298" s="35"/>
      <c r="E298" s="35"/>
      <c r="F298" s="35"/>
      <c r="G298" s="35"/>
      <c r="H298" s="34"/>
      <c r="I298" s="34"/>
      <c r="J298" s="34"/>
      <c r="K298" s="34"/>
      <c r="L298" s="34"/>
      <c r="M298" s="34"/>
      <c r="N298" s="34"/>
      <c r="O298" s="34"/>
    </row>
    <row r="299">
      <c r="A299" s="33"/>
      <c r="B299" s="34"/>
      <c r="C299" s="34"/>
      <c r="D299" s="35"/>
      <c r="E299" s="35"/>
      <c r="F299" s="35"/>
      <c r="G299" s="35"/>
      <c r="H299" s="34"/>
      <c r="I299" s="34"/>
      <c r="J299" s="34"/>
      <c r="K299" s="34"/>
      <c r="L299" s="34"/>
      <c r="M299" s="34"/>
      <c r="N299" s="34"/>
      <c r="O299" s="34"/>
    </row>
    <row r="300">
      <c r="A300" s="33"/>
      <c r="B300" s="34"/>
      <c r="C300" s="34"/>
      <c r="D300" s="35"/>
      <c r="E300" s="35"/>
      <c r="F300" s="35"/>
      <c r="G300" s="35"/>
      <c r="H300" s="34"/>
      <c r="I300" s="34"/>
      <c r="J300" s="34"/>
      <c r="K300" s="34"/>
      <c r="L300" s="34"/>
      <c r="M300" s="34"/>
      <c r="N300" s="34"/>
      <c r="O300" s="34"/>
    </row>
    <row r="301">
      <c r="A301" s="33"/>
      <c r="B301" s="34"/>
      <c r="C301" s="34"/>
      <c r="D301" s="35"/>
      <c r="E301" s="35"/>
      <c r="F301" s="35"/>
      <c r="G301" s="35"/>
      <c r="H301" s="34"/>
      <c r="I301" s="34"/>
      <c r="J301" s="34"/>
      <c r="K301" s="34"/>
      <c r="L301" s="34"/>
      <c r="M301" s="34"/>
      <c r="N301" s="34"/>
      <c r="O301" s="34"/>
    </row>
    <row r="302">
      <c r="A302" s="33"/>
      <c r="B302" s="34"/>
      <c r="C302" s="34"/>
      <c r="D302" s="35"/>
      <c r="E302" s="35"/>
      <c r="F302" s="35"/>
      <c r="G302" s="35"/>
      <c r="H302" s="34"/>
      <c r="I302" s="34"/>
      <c r="J302" s="34"/>
      <c r="K302" s="34"/>
      <c r="L302" s="34"/>
      <c r="M302" s="34"/>
      <c r="N302" s="34"/>
      <c r="O302" s="34"/>
    </row>
    <row r="303">
      <c r="A303" s="33"/>
      <c r="B303" s="34"/>
      <c r="C303" s="34"/>
      <c r="D303" s="35"/>
      <c r="E303" s="35"/>
      <c r="F303" s="35"/>
      <c r="G303" s="35"/>
      <c r="H303" s="34"/>
      <c r="I303" s="34"/>
      <c r="J303" s="34"/>
      <c r="K303" s="34"/>
      <c r="L303" s="34"/>
      <c r="M303" s="34"/>
      <c r="N303" s="34"/>
      <c r="O303" s="34"/>
    </row>
    <row r="304">
      <c r="A304" s="33"/>
      <c r="B304" s="34"/>
      <c r="C304" s="34"/>
      <c r="D304" s="35"/>
      <c r="E304" s="35"/>
      <c r="F304" s="35"/>
      <c r="G304" s="35"/>
      <c r="H304" s="34"/>
      <c r="I304" s="34"/>
      <c r="J304" s="34"/>
      <c r="K304" s="34"/>
      <c r="L304" s="34"/>
      <c r="M304" s="34"/>
      <c r="N304" s="34"/>
      <c r="O304" s="34"/>
    </row>
    <row r="305">
      <c r="A305" s="33"/>
      <c r="B305" s="34"/>
      <c r="C305" s="34"/>
      <c r="D305" s="35"/>
      <c r="E305" s="35"/>
      <c r="F305" s="35"/>
      <c r="G305" s="35"/>
      <c r="H305" s="34"/>
      <c r="I305" s="34"/>
      <c r="J305" s="34"/>
      <c r="K305" s="34"/>
      <c r="L305" s="34"/>
      <c r="M305" s="34"/>
      <c r="N305" s="34"/>
      <c r="O305" s="34"/>
    </row>
    <row r="306">
      <c r="A306" s="33"/>
      <c r="B306" s="34"/>
      <c r="C306" s="34"/>
      <c r="D306" s="35"/>
      <c r="E306" s="35"/>
      <c r="F306" s="35"/>
      <c r="G306" s="35"/>
      <c r="H306" s="34"/>
      <c r="I306" s="34"/>
      <c r="J306" s="34"/>
      <c r="K306" s="34"/>
      <c r="L306" s="34"/>
      <c r="M306" s="34"/>
      <c r="N306" s="34"/>
      <c r="O306" s="34"/>
    </row>
    <row r="307">
      <c r="A307" s="33"/>
      <c r="B307" s="34"/>
      <c r="C307" s="34"/>
      <c r="D307" s="35"/>
      <c r="E307" s="35"/>
      <c r="F307" s="35"/>
      <c r="G307" s="35"/>
      <c r="H307" s="34"/>
      <c r="I307" s="34"/>
      <c r="J307" s="34"/>
      <c r="K307" s="34"/>
      <c r="L307" s="34"/>
      <c r="M307" s="34"/>
      <c r="N307" s="34"/>
      <c r="O307" s="34"/>
    </row>
    <row r="308">
      <c r="A308" s="33"/>
      <c r="B308" s="34"/>
      <c r="C308" s="34"/>
      <c r="D308" s="35"/>
      <c r="E308" s="35"/>
      <c r="F308" s="35"/>
      <c r="G308" s="35"/>
      <c r="H308" s="34"/>
      <c r="I308" s="34"/>
      <c r="J308" s="34"/>
      <c r="K308" s="34"/>
      <c r="L308" s="34"/>
      <c r="M308" s="34"/>
      <c r="N308" s="34"/>
      <c r="O308" s="34"/>
    </row>
    <row r="309">
      <c r="A309" s="33"/>
      <c r="B309" s="34"/>
      <c r="C309" s="34"/>
      <c r="D309" s="35"/>
      <c r="E309" s="35"/>
      <c r="F309" s="35"/>
      <c r="G309" s="35"/>
      <c r="H309" s="34"/>
      <c r="I309" s="34"/>
      <c r="J309" s="34"/>
      <c r="K309" s="34"/>
      <c r="L309" s="34"/>
      <c r="M309" s="34"/>
      <c r="N309" s="34"/>
      <c r="O309" s="34"/>
    </row>
    <row r="310">
      <c r="A310" s="33"/>
      <c r="B310" s="34"/>
      <c r="C310" s="34"/>
      <c r="D310" s="35"/>
      <c r="E310" s="35"/>
      <c r="F310" s="35"/>
      <c r="G310" s="35"/>
      <c r="H310" s="34"/>
      <c r="I310" s="34"/>
      <c r="J310" s="34"/>
      <c r="K310" s="34"/>
      <c r="L310" s="34"/>
      <c r="M310" s="34"/>
      <c r="N310" s="34"/>
      <c r="O310" s="34"/>
    </row>
    <row r="311">
      <c r="A311" s="33"/>
      <c r="B311" s="34"/>
      <c r="C311" s="34"/>
      <c r="D311" s="35"/>
      <c r="E311" s="35"/>
      <c r="F311" s="35"/>
      <c r="G311" s="35"/>
      <c r="H311" s="34"/>
      <c r="I311" s="34"/>
      <c r="J311" s="34"/>
      <c r="K311" s="34"/>
      <c r="L311" s="34"/>
      <c r="M311" s="34"/>
      <c r="N311" s="34"/>
      <c r="O311" s="34"/>
    </row>
    <row r="312">
      <c r="A312" s="33"/>
      <c r="B312" s="34"/>
      <c r="C312" s="34"/>
      <c r="D312" s="35"/>
      <c r="E312" s="35"/>
      <c r="F312" s="35"/>
      <c r="G312" s="35"/>
      <c r="H312" s="34"/>
      <c r="I312" s="34"/>
      <c r="J312" s="34"/>
      <c r="K312" s="34"/>
      <c r="L312" s="34"/>
      <c r="M312" s="34"/>
      <c r="N312" s="34"/>
      <c r="O312" s="34"/>
    </row>
    <row r="313">
      <c r="A313" s="33"/>
      <c r="B313" s="34"/>
      <c r="C313" s="34"/>
      <c r="D313" s="35"/>
      <c r="E313" s="35"/>
      <c r="F313" s="35"/>
      <c r="G313" s="35"/>
      <c r="H313" s="34"/>
      <c r="I313" s="34"/>
      <c r="J313" s="34"/>
      <c r="K313" s="34"/>
      <c r="L313" s="34"/>
      <c r="M313" s="34"/>
      <c r="N313" s="34"/>
      <c r="O313" s="34"/>
    </row>
    <row r="314">
      <c r="A314" s="33"/>
      <c r="B314" s="34"/>
      <c r="C314" s="34"/>
      <c r="D314" s="35"/>
      <c r="E314" s="35"/>
      <c r="F314" s="35"/>
      <c r="G314" s="35"/>
      <c r="H314" s="34"/>
      <c r="I314" s="34"/>
      <c r="J314" s="34"/>
      <c r="K314" s="34"/>
      <c r="L314" s="34"/>
      <c r="M314" s="34"/>
      <c r="N314" s="34"/>
      <c r="O314" s="34"/>
    </row>
    <row r="315">
      <c r="A315" s="33"/>
      <c r="B315" s="34"/>
      <c r="C315" s="34"/>
      <c r="D315" s="35"/>
      <c r="E315" s="35"/>
      <c r="F315" s="35"/>
      <c r="G315" s="35"/>
      <c r="H315" s="34"/>
      <c r="I315" s="34"/>
      <c r="J315" s="34"/>
      <c r="K315" s="34"/>
      <c r="L315" s="34"/>
      <c r="M315" s="34"/>
      <c r="N315" s="34"/>
      <c r="O315" s="34"/>
    </row>
    <row r="316">
      <c r="A316" s="33"/>
      <c r="B316" s="34"/>
      <c r="C316" s="34"/>
      <c r="D316" s="35"/>
      <c r="E316" s="35"/>
      <c r="F316" s="35"/>
      <c r="G316" s="35"/>
      <c r="H316" s="34"/>
      <c r="I316" s="34"/>
      <c r="J316" s="34"/>
      <c r="K316" s="34"/>
      <c r="L316" s="34"/>
      <c r="M316" s="34"/>
      <c r="N316" s="34"/>
      <c r="O316" s="34"/>
    </row>
    <row r="317">
      <c r="A317" s="33"/>
      <c r="B317" s="34"/>
      <c r="C317" s="34"/>
      <c r="D317" s="35"/>
      <c r="E317" s="35"/>
      <c r="F317" s="35"/>
      <c r="G317" s="35"/>
      <c r="H317" s="34"/>
      <c r="I317" s="34"/>
      <c r="J317" s="34"/>
      <c r="K317" s="34"/>
      <c r="L317" s="34"/>
      <c r="M317" s="34"/>
      <c r="N317" s="34"/>
      <c r="O317" s="34"/>
    </row>
    <row r="318">
      <c r="A318" s="33"/>
      <c r="B318" s="34"/>
      <c r="C318" s="34"/>
      <c r="D318" s="35"/>
      <c r="E318" s="35"/>
      <c r="F318" s="35"/>
      <c r="G318" s="35"/>
      <c r="H318" s="34"/>
      <c r="I318" s="34"/>
      <c r="J318" s="34"/>
      <c r="K318" s="34"/>
      <c r="L318" s="34"/>
      <c r="M318" s="34"/>
      <c r="N318" s="34"/>
      <c r="O318" s="34"/>
    </row>
    <row r="319">
      <c r="A319" s="33"/>
      <c r="B319" s="34"/>
      <c r="C319" s="34"/>
      <c r="D319" s="35"/>
      <c r="E319" s="35"/>
      <c r="F319" s="35"/>
      <c r="G319" s="35"/>
      <c r="H319" s="34"/>
      <c r="I319" s="34"/>
      <c r="J319" s="34"/>
      <c r="K319" s="34"/>
      <c r="L319" s="34"/>
      <c r="M319" s="34"/>
      <c r="N319" s="34"/>
      <c r="O319" s="34"/>
    </row>
    <row r="320">
      <c r="A320" s="33"/>
      <c r="B320" s="34"/>
      <c r="C320" s="34"/>
      <c r="D320" s="35"/>
      <c r="E320" s="35"/>
      <c r="F320" s="35"/>
      <c r="G320" s="35"/>
      <c r="H320" s="34"/>
      <c r="I320" s="34"/>
      <c r="J320" s="34"/>
      <c r="K320" s="34"/>
      <c r="L320" s="34"/>
      <c r="M320" s="34"/>
      <c r="N320" s="34"/>
      <c r="O320" s="34"/>
    </row>
    <row r="321">
      <c r="A321" s="33"/>
      <c r="B321" s="34"/>
      <c r="C321" s="34"/>
      <c r="D321" s="35"/>
      <c r="E321" s="35"/>
      <c r="F321" s="35"/>
      <c r="G321" s="35"/>
      <c r="H321" s="34"/>
      <c r="I321" s="34"/>
      <c r="J321" s="34"/>
      <c r="K321" s="34"/>
      <c r="L321" s="34"/>
      <c r="M321" s="34"/>
      <c r="N321" s="34"/>
      <c r="O321" s="34"/>
    </row>
    <row r="322">
      <c r="A322" s="33"/>
      <c r="B322" s="34"/>
      <c r="C322" s="34"/>
      <c r="D322" s="35"/>
      <c r="E322" s="35"/>
      <c r="F322" s="35"/>
      <c r="G322" s="35"/>
      <c r="H322" s="34"/>
      <c r="I322" s="34"/>
      <c r="J322" s="34"/>
      <c r="K322" s="34"/>
      <c r="L322" s="34"/>
      <c r="M322" s="34"/>
      <c r="N322" s="34"/>
      <c r="O322" s="34"/>
    </row>
    <row r="323">
      <c r="A323" s="33"/>
      <c r="B323" s="34"/>
      <c r="C323" s="34"/>
      <c r="D323" s="35"/>
      <c r="E323" s="35"/>
      <c r="F323" s="35"/>
      <c r="G323" s="35"/>
      <c r="H323" s="34"/>
      <c r="I323" s="34"/>
      <c r="J323" s="34"/>
      <c r="K323" s="34"/>
      <c r="L323" s="34"/>
      <c r="M323" s="34"/>
      <c r="N323" s="34"/>
      <c r="O323" s="34"/>
    </row>
    <row r="324">
      <c r="A324" s="33"/>
      <c r="B324" s="34"/>
      <c r="C324" s="34"/>
      <c r="D324" s="35"/>
      <c r="E324" s="35"/>
      <c r="F324" s="35"/>
      <c r="G324" s="35"/>
      <c r="H324" s="34"/>
      <c r="I324" s="34"/>
      <c r="J324" s="34"/>
      <c r="K324" s="34"/>
      <c r="L324" s="34"/>
      <c r="M324" s="34"/>
      <c r="N324" s="34"/>
      <c r="O324" s="34"/>
    </row>
    <row r="325">
      <c r="A325" s="33"/>
      <c r="B325" s="34"/>
      <c r="C325" s="34"/>
      <c r="D325" s="35"/>
      <c r="E325" s="35"/>
      <c r="F325" s="35"/>
      <c r="G325" s="35"/>
      <c r="H325" s="34"/>
      <c r="I325" s="34"/>
      <c r="J325" s="34"/>
      <c r="K325" s="34"/>
      <c r="L325" s="34"/>
      <c r="M325" s="34"/>
      <c r="N325" s="34"/>
      <c r="O325" s="34"/>
    </row>
    <row r="326">
      <c r="A326" s="33"/>
      <c r="B326" s="34"/>
      <c r="C326" s="34"/>
      <c r="D326" s="35"/>
      <c r="E326" s="35"/>
      <c r="F326" s="35"/>
      <c r="G326" s="35"/>
      <c r="H326" s="34"/>
      <c r="I326" s="34"/>
      <c r="J326" s="34"/>
      <c r="K326" s="34"/>
      <c r="L326" s="34"/>
      <c r="M326" s="34"/>
      <c r="N326" s="34"/>
      <c r="O326" s="34"/>
    </row>
    <row r="327">
      <c r="A327" s="33"/>
      <c r="B327" s="34"/>
      <c r="C327" s="34"/>
      <c r="D327" s="35"/>
      <c r="E327" s="35"/>
      <c r="F327" s="35"/>
      <c r="G327" s="35"/>
      <c r="H327" s="34"/>
      <c r="I327" s="34"/>
      <c r="J327" s="34"/>
      <c r="K327" s="34"/>
      <c r="L327" s="34"/>
      <c r="M327" s="34"/>
      <c r="N327" s="34"/>
      <c r="O327" s="34"/>
    </row>
    <row r="328">
      <c r="A328" s="33"/>
      <c r="B328" s="34"/>
      <c r="C328" s="34"/>
      <c r="D328" s="35"/>
      <c r="E328" s="35"/>
      <c r="F328" s="35"/>
      <c r="G328" s="35"/>
      <c r="H328" s="34"/>
      <c r="I328" s="34"/>
      <c r="J328" s="34"/>
      <c r="K328" s="34"/>
      <c r="L328" s="34"/>
      <c r="M328" s="34"/>
      <c r="N328" s="34"/>
      <c r="O328" s="34"/>
    </row>
    <row r="329">
      <c r="A329" s="33"/>
      <c r="B329" s="34"/>
      <c r="C329" s="34"/>
      <c r="D329" s="35"/>
      <c r="E329" s="35"/>
      <c r="F329" s="35"/>
      <c r="G329" s="35"/>
      <c r="H329" s="34"/>
      <c r="I329" s="34"/>
      <c r="J329" s="34"/>
      <c r="K329" s="34"/>
      <c r="L329" s="34"/>
      <c r="M329" s="34"/>
      <c r="N329" s="34"/>
      <c r="O329" s="34"/>
    </row>
    <row r="330">
      <c r="A330" s="33"/>
      <c r="B330" s="34"/>
      <c r="C330" s="34"/>
      <c r="D330" s="35"/>
      <c r="E330" s="35"/>
      <c r="F330" s="35"/>
      <c r="G330" s="35"/>
      <c r="H330" s="34"/>
      <c r="I330" s="34"/>
      <c r="J330" s="34"/>
      <c r="K330" s="34"/>
      <c r="L330" s="34"/>
      <c r="M330" s="34"/>
      <c r="N330" s="34"/>
      <c r="O330" s="34"/>
    </row>
    <row r="331">
      <c r="A331" s="33"/>
      <c r="B331" s="34"/>
      <c r="C331" s="34"/>
      <c r="D331" s="35"/>
      <c r="E331" s="35"/>
      <c r="F331" s="35"/>
      <c r="G331" s="35"/>
      <c r="H331" s="34"/>
      <c r="I331" s="34"/>
      <c r="J331" s="34"/>
      <c r="K331" s="34"/>
      <c r="L331" s="34"/>
      <c r="M331" s="34"/>
      <c r="N331" s="34"/>
      <c r="O331" s="34"/>
    </row>
    <row r="332">
      <c r="A332" s="33"/>
      <c r="B332" s="34"/>
      <c r="C332" s="34"/>
      <c r="D332" s="35"/>
      <c r="E332" s="35"/>
      <c r="F332" s="35"/>
      <c r="G332" s="35"/>
      <c r="H332" s="34"/>
      <c r="I332" s="34"/>
      <c r="J332" s="34"/>
      <c r="K332" s="34"/>
      <c r="L332" s="34"/>
      <c r="M332" s="34"/>
      <c r="N332" s="34"/>
      <c r="O332" s="34"/>
    </row>
    <row r="333">
      <c r="A333" s="33"/>
      <c r="B333" s="34"/>
      <c r="C333" s="34"/>
      <c r="D333" s="35"/>
      <c r="E333" s="35"/>
      <c r="F333" s="35"/>
      <c r="G333" s="35"/>
      <c r="H333" s="34"/>
      <c r="I333" s="34"/>
      <c r="J333" s="34"/>
      <c r="K333" s="34"/>
      <c r="L333" s="34"/>
      <c r="M333" s="34"/>
      <c r="N333" s="34"/>
      <c r="O333" s="34"/>
    </row>
    <row r="334">
      <c r="A334" s="33"/>
      <c r="B334" s="34"/>
      <c r="C334" s="34"/>
      <c r="D334" s="35"/>
      <c r="E334" s="35"/>
      <c r="F334" s="35"/>
      <c r="G334" s="35"/>
      <c r="H334" s="34"/>
      <c r="I334" s="34"/>
      <c r="J334" s="34"/>
      <c r="K334" s="34"/>
      <c r="L334" s="34"/>
      <c r="M334" s="34"/>
      <c r="N334" s="34"/>
      <c r="O334" s="34"/>
    </row>
    <row r="335">
      <c r="A335" s="33"/>
      <c r="B335" s="34"/>
      <c r="C335" s="34"/>
      <c r="D335" s="35"/>
      <c r="E335" s="35"/>
      <c r="F335" s="35"/>
      <c r="G335" s="35"/>
      <c r="H335" s="34"/>
      <c r="I335" s="34"/>
      <c r="J335" s="34"/>
      <c r="K335" s="34"/>
      <c r="L335" s="34"/>
      <c r="M335" s="34"/>
      <c r="N335" s="34"/>
      <c r="O335" s="34"/>
    </row>
    <row r="336">
      <c r="A336" s="33"/>
      <c r="B336" s="34"/>
      <c r="C336" s="34"/>
      <c r="D336" s="35"/>
      <c r="E336" s="35"/>
      <c r="F336" s="35"/>
      <c r="G336" s="35"/>
      <c r="H336" s="34"/>
      <c r="I336" s="34"/>
      <c r="J336" s="34"/>
      <c r="K336" s="34"/>
      <c r="L336" s="34"/>
      <c r="M336" s="34"/>
      <c r="N336" s="34"/>
      <c r="O336" s="34"/>
    </row>
    <row r="337">
      <c r="A337" s="33"/>
      <c r="B337" s="34"/>
      <c r="C337" s="34"/>
      <c r="D337" s="35"/>
      <c r="E337" s="35"/>
      <c r="F337" s="35"/>
      <c r="G337" s="35"/>
      <c r="H337" s="34"/>
      <c r="I337" s="34"/>
      <c r="J337" s="34"/>
      <c r="K337" s="34"/>
      <c r="L337" s="34"/>
      <c r="M337" s="34"/>
      <c r="N337" s="34"/>
      <c r="O337" s="34"/>
    </row>
    <row r="338">
      <c r="A338" s="33"/>
      <c r="B338" s="34"/>
      <c r="C338" s="34"/>
      <c r="D338" s="35"/>
      <c r="E338" s="35"/>
      <c r="F338" s="35"/>
      <c r="G338" s="35"/>
      <c r="H338" s="34"/>
      <c r="I338" s="34"/>
      <c r="J338" s="34"/>
      <c r="K338" s="34"/>
      <c r="L338" s="34"/>
      <c r="M338" s="34"/>
      <c r="N338" s="34"/>
      <c r="O338" s="34"/>
    </row>
    <row r="339">
      <c r="A339" s="33"/>
      <c r="B339" s="34"/>
      <c r="C339" s="34"/>
      <c r="D339" s="35"/>
      <c r="E339" s="35"/>
      <c r="F339" s="35"/>
      <c r="G339" s="35"/>
      <c r="H339" s="34"/>
      <c r="I339" s="34"/>
      <c r="J339" s="34"/>
      <c r="K339" s="34"/>
      <c r="L339" s="34"/>
      <c r="M339" s="34"/>
      <c r="N339" s="34"/>
      <c r="O339" s="34"/>
    </row>
    <row r="340">
      <c r="A340" s="33"/>
      <c r="B340" s="34"/>
      <c r="C340" s="34"/>
      <c r="D340" s="35"/>
      <c r="E340" s="35"/>
      <c r="F340" s="35"/>
      <c r="G340" s="35"/>
      <c r="H340" s="34"/>
      <c r="I340" s="34"/>
      <c r="J340" s="34"/>
      <c r="K340" s="34"/>
      <c r="L340" s="34"/>
      <c r="M340" s="34"/>
      <c r="N340" s="34"/>
      <c r="O340" s="34"/>
    </row>
    <row r="341">
      <c r="A341" s="33"/>
      <c r="B341" s="34"/>
      <c r="C341" s="34"/>
      <c r="D341" s="35"/>
      <c r="E341" s="35"/>
      <c r="F341" s="35"/>
      <c r="G341" s="35"/>
      <c r="H341" s="34"/>
      <c r="I341" s="34"/>
      <c r="J341" s="34"/>
      <c r="K341" s="34"/>
      <c r="L341" s="34"/>
      <c r="M341" s="34"/>
      <c r="N341" s="34"/>
      <c r="O341" s="34"/>
    </row>
    <row r="342">
      <c r="A342" s="33"/>
      <c r="B342" s="34"/>
      <c r="C342" s="34"/>
      <c r="D342" s="35"/>
      <c r="E342" s="35"/>
      <c r="F342" s="35"/>
      <c r="G342" s="35"/>
      <c r="H342" s="34"/>
      <c r="I342" s="34"/>
      <c r="J342" s="34"/>
      <c r="K342" s="34"/>
      <c r="L342" s="34"/>
      <c r="M342" s="34"/>
      <c r="N342" s="34"/>
      <c r="O342" s="34"/>
    </row>
    <row r="343">
      <c r="A343" s="33"/>
      <c r="B343" s="34"/>
      <c r="C343" s="34"/>
      <c r="D343" s="35"/>
      <c r="E343" s="35"/>
      <c r="F343" s="35"/>
      <c r="G343" s="35"/>
      <c r="H343" s="34"/>
      <c r="I343" s="34"/>
      <c r="J343" s="34"/>
      <c r="K343" s="34"/>
      <c r="L343" s="34"/>
      <c r="M343" s="34"/>
      <c r="N343" s="34"/>
      <c r="O343" s="34"/>
    </row>
    <row r="344">
      <c r="A344" s="33"/>
      <c r="B344" s="34"/>
      <c r="C344" s="34"/>
      <c r="D344" s="35"/>
      <c r="E344" s="35"/>
      <c r="F344" s="35"/>
      <c r="G344" s="35"/>
      <c r="H344" s="34"/>
      <c r="I344" s="34"/>
      <c r="J344" s="34"/>
      <c r="K344" s="34"/>
      <c r="L344" s="34"/>
      <c r="M344" s="34"/>
      <c r="N344" s="34"/>
      <c r="O344" s="34"/>
    </row>
    <row r="345">
      <c r="A345" s="33"/>
      <c r="B345" s="34"/>
      <c r="C345" s="34"/>
      <c r="D345" s="35"/>
      <c r="E345" s="35"/>
      <c r="F345" s="35"/>
      <c r="G345" s="35"/>
      <c r="H345" s="34"/>
      <c r="I345" s="34"/>
      <c r="J345" s="34"/>
      <c r="K345" s="34"/>
      <c r="L345" s="34"/>
      <c r="M345" s="34"/>
      <c r="N345" s="34"/>
      <c r="O345" s="34"/>
    </row>
    <row r="346">
      <c r="A346" s="33"/>
      <c r="B346" s="34"/>
      <c r="C346" s="34"/>
      <c r="D346" s="35"/>
      <c r="E346" s="35"/>
      <c r="F346" s="35"/>
      <c r="G346" s="35"/>
      <c r="H346" s="34"/>
      <c r="I346" s="34"/>
      <c r="J346" s="34"/>
      <c r="K346" s="34"/>
      <c r="L346" s="34"/>
      <c r="M346" s="34"/>
      <c r="N346" s="34"/>
      <c r="O346" s="34"/>
    </row>
    <row r="347">
      <c r="A347" s="33"/>
      <c r="B347" s="34"/>
      <c r="C347" s="34"/>
      <c r="D347" s="35"/>
      <c r="E347" s="35"/>
      <c r="F347" s="35"/>
      <c r="G347" s="35"/>
      <c r="H347" s="34"/>
      <c r="I347" s="34"/>
      <c r="J347" s="34"/>
      <c r="K347" s="34"/>
      <c r="L347" s="34"/>
      <c r="M347" s="34"/>
      <c r="N347" s="34"/>
      <c r="O347" s="34"/>
    </row>
    <row r="348">
      <c r="A348" s="33"/>
      <c r="B348" s="34"/>
      <c r="C348" s="34"/>
      <c r="D348" s="35"/>
      <c r="E348" s="35"/>
      <c r="F348" s="35"/>
      <c r="G348" s="35"/>
      <c r="H348" s="34"/>
      <c r="I348" s="34"/>
      <c r="J348" s="34"/>
      <c r="K348" s="34"/>
      <c r="L348" s="34"/>
      <c r="M348" s="34"/>
      <c r="N348" s="34"/>
      <c r="O348" s="34"/>
    </row>
    <row r="349">
      <c r="A349" s="33"/>
      <c r="B349" s="34"/>
      <c r="C349" s="34"/>
      <c r="D349" s="35"/>
      <c r="E349" s="35"/>
      <c r="F349" s="35"/>
      <c r="G349" s="35"/>
      <c r="H349" s="34"/>
      <c r="I349" s="34"/>
      <c r="J349" s="34"/>
      <c r="K349" s="34"/>
      <c r="L349" s="34"/>
      <c r="M349" s="34"/>
      <c r="N349" s="34"/>
      <c r="O349" s="34"/>
    </row>
    <row r="350">
      <c r="A350" s="33"/>
      <c r="B350" s="34"/>
      <c r="C350" s="34"/>
      <c r="D350" s="35"/>
      <c r="E350" s="35"/>
      <c r="F350" s="35"/>
      <c r="G350" s="35"/>
      <c r="H350" s="34"/>
      <c r="I350" s="34"/>
      <c r="J350" s="34"/>
      <c r="K350" s="34"/>
      <c r="L350" s="34"/>
      <c r="M350" s="34"/>
      <c r="N350" s="34"/>
      <c r="O350" s="34"/>
    </row>
    <row r="351">
      <c r="A351" s="33"/>
      <c r="B351" s="34"/>
      <c r="C351" s="34"/>
      <c r="D351" s="35"/>
      <c r="E351" s="35"/>
      <c r="F351" s="35"/>
      <c r="G351" s="35"/>
      <c r="H351" s="34"/>
      <c r="I351" s="34"/>
      <c r="J351" s="34"/>
      <c r="K351" s="34"/>
      <c r="L351" s="34"/>
      <c r="M351" s="34"/>
      <c r="N351" s="34"/>
      <c r="O351" s="34"/>
    </row>
    <row r="352">
      <c r="A352" s="33"/>
      <c r="B352" s="34"/>
      <c r="C352" s="34"/>
      <c r="D352" s="35"/>
      <c r="E352" s="35"/>
      <c r="F352" s="35"/>
      <c r="G352" s="35"/>
      <c r="H352" s="34"/>
      <c r="I352" s="34"/>
      <c r="J352" s="34"/>
      <c r="K352" s="34"/>
      <c r="L352" s="34"/>
      <c r="M352" s="34"/>
      <c r="N352" s="34"/>
      <c r="O352" s="34"/>
    </row>
    <row r="353">
      <c r="A353" s="33"/>
      <c r="B353" s="34"/>
      <c r="C353" s="34"/>
      <c r="D353" s="35"/>
      <c r="E353" s="35"/>
      <c r="F353" s="35"/>
      <c r="G353" s="35"/>
      <c r="H353" s="34"/>
      <c r="I353" s="34"/>
      <c r="J353" s="34"/>
      <c r="K353" s="34"/>
      <c r="L353" s="34"/>
      <c r="M353" s="34"/>
      <c r="N353" s="34"/>
      <c r="O353" s="34"/>
    </row>
    <row r="354">
      <c r="A354" s="33"/>
      <c r="B354" s="34"/>
      <c r="C354" s="34"/>
      <c r="D354" s="35"/>
      <c r="E354" s="35"/>
      <c r="F354" s="35"/>
      <c r="G354" s="35"/>
      <c r="H354" s="34"/>
      <c r="I354" s="34"/>
      <c r="J354" s="34"/>
      <c r="K354" s="34"/>
      <c r="L354" s="34"/>
      <c r="M354" s="34"/>
      <c r="N354" s="34"/>
      <c r="O354" s="34"/>
    </row>
    <row r="355">
      <c r="A355" s="33"/>
      <c r="B355" s="34"/>
      <c r="C355" s="34"/>
      <c r="D355" s="35"/>
      <c r="E355" s="35"/>
      <c r="F355" s="35"/>
      <c r="G355" s="35"/>
      <c r="H355" s="34"/>
      <c r="I355" s="34"/>
      <c r="J355" s="34"/>
      <c r="K355" s="34"/>
      <c r="L355" s="34"/>
      <c r="M355" s="34"/>
      <c r="N355" s="34"/>
      <c r="O355" s="34"/>
    </row>
    <row r="356">
      <c r="A356" s="33"/>
      <c r="B356" s="34"/>
      <c r="C356" s="34"/>
      <c r="D356" s="35"/>
      <c r="E356" s="35"/>
      <c r="F356" s="35"/>
      <c r="G356" s="35"/>
      <c r="H356" s="34"/>
      <c r="I356" s="34"/>
      <c r="J356" s="34"/>
      <c r="K356" s="34"/>
      <c r="L356" s="34"/>
      <c r="M356" s="34"/>
      <c r="N356" s="34"/>
      <c r="O356" s="34"/>
    </row>
    <row r="357">
      <c r="A357" s="33"/>
      <c r="B357" s="34"/>
      <c r="C357" s="34"/>
      <c r="D357" s="35"/>
      <c r="E357" s="35"/>
      <c r="F357" s="35"/>
      <c r="G357" s="35"/>
      <c r="H357" s="34"/>
      <c r="I357" s="34"/>
      <c r="J357" s="34"/>
      <c r="K357" s="34"/>
      <c r="L357" s="34"/>
      <c r="M357" s="34"/>
      <c r="N357" s="34"/>
      <c r="O357" s="34"/>
    </row>
    <row r="358">
      <c r="A358" s="33"/>
      <c r="B358" s="34"/>
      <c r="C358" s="34"/>
      <c r="D358" s="35"/>
      <c r="E358" s="35"/>
      <c r="F358" s="35"/>
      <c r="G358" s="35"/>
      <c r="H358" s="34"/>
      <c r="I358" s="34"/>
      <c r="J358" s="34"/>
      <c r="K358" s="34"/>
      <c r="L358" s="34"/>
      <c r="M358" s="34"/>
      <c r="N358" s="34"/>
      <c r="O358" s="34"/>
    </row>
    <row r="359">
      <c r="A359" s="33"/>
      <c r="B359" s="34"/>
      <c r="C359" s="34"/>
      <c r="D359" s="35"/>
      <c r="E359" s="35"/>
      <c r="F359" s="35"/>
      <c r="G359" s="35"/>
      <c r="H359" s="34"/>
      <c r="I359" s="34"/>
      <c r="J359" s="34"/>
      <c r="K359" s="34"/>
      <c r="L359" s="34"/>
      <c r="M359" s="34"/>
      <c r="N359" s="34"/>
      <c r="O359" s="34"/>
    </row>
    <row r="360">
      <c r="A360" s="33"/>
      <c r="B360" s="34"/>
      <c r="C360" s="34"/>
      <c r="D360" s="35"/>
      <c r="E360" s="35"/>
      <c r="F360" s="35"/>
      <c r="G360" s="35"/>
      <c r="H360" s="34"/>
      <c r="I360" s="34"/>
      <c r="J360" s="34"/>
      <c r="K360" s="34"/>
      <c r="L360" s="34"/>
      <c r="M360" s="34"/>
      <c r="N360" s="34"/>
      <c r="O360" s="34"/>
    </row>
    <row r="361">
      <c r="A361" s="33"/>
      <c r="B361" s="34"/>
      <c r="C361" s="34"/>
      <c r="D361" s="35"/>
      <c r="E361" s="35"/>
      <c r="F361" s="35"/>
      <c r="G361" s="35"/>
      <c r="H361" s="34"/>
      <c r="I361" s="34"/>
      <c r="J361" s="34"/>
      <c r="K361" s="34"/>
      <c r="L361" s="34"/>
      <c r="M361" s="34"/>
      <c r="N361" s="34"/>
      <c r="O361" s="34"/>
    </row>
    <row r="362">
      <c r="A362" s="33"/>
      <c r="B362" s="34"/>
      <c r="C362" s="34"/>
      <c r="D362" s="35"/>
      <c r="E362" s="35"/>
      <c r="F362" s="35"/>
      <c r="G362" s="35"/>
      <c r="H362" s="34"/>
      <c r="I362" s="34"/>
      <c r="J362" s="34"/>
      <c r="K362" s="34"/>
      <c r="L362" s="34"/>
      <c r="M362" s="34"/>
      <c r="N362" s="34"/>
      <c r="O362" s="34"/>
    </row>
    <row r="363">
      <c r="A363" s="33"/>
      <c r="B363" s="34"/>
      <c r="C363" s="34"/>
      <c r="D363" s="35"/>
      <c r="E363" s="35"/>
      <c r="F363" s="35"/>
      <c r="G363" s="35"/>
      <c r="H363" s="34"/>
      <c r="I363" s="34"/>
      <c r="J363" s="34"/>
      <c r="K363" s="34"/>
      <c r="L363" s="34"/>
      <c r="M363" s="34"/>
      <c r="N363" s="34"/>
      <c r="O363" s="34"/>
    </row>
    <row r="364">
      <c r="A364" s="33"/>
      <c r="B364" s="34"/>
      <c r="C364" s="34"/>
      <c r="D364" s="35"/>
      <c r="E364" s="35"/>
      <c r="F364" s="35"/>
      <c r="G364" s="35"/>
      <c r="H364" s="34"/>
      <c r="I364" s="34"/>
      <c r="J364" s="34"/>
      <c r="K364" s="34"/>
      <c r="L364" s="34"/>
      <c r="M364" s="34"/>
      <c r="N364" s="34"/>
      <c r="O364" s="34"/>
    </row>
    <row r="365">
      <c r="A365" s="33"/>
      <c r="B365" s="34"/>
      <c r="C365" s="34"/>
      <c r="D365" s="35"/>
      <c r="E365" s="35"/>
      <c r="F365" s="35"/>
      <c r="G365" s="35"/>
      <c r="H365" s="34"/>
      <c r="I365" s="34"/>
      <c r="J365" s="34"/>
      <c r="K365" s="34"/>
      <c r="L365" s="34"/>
      <c r="M365" s="34"/>
      <c r="N365" s="34"/>
      <c r="O365" s="34"/>
    </row>
    <row r="366">
      <c r="A366" s="33"/>
      <c r="B366" s="34"/>
      <c r="C366" s="34"/>
      <c r="D366" s="35"/>
      <c r="E366" s="35"/>
      <c r="F366" s="35"/>
      <c r="G366" s="35"/>
      <c r="H366" s="34"/>
      <c r="I366" s="34"/>
      <c r="J366" s="34"/>
      <c r="K366" s="34"/>
      <c r="L366" s="34"/>
      <c r="M366" s="34"/>
      <c r="N366" s="34"/>
      <c r="O366" s="34"/>
    </row>
    <row r="367">
      <c r="A367" s="33"/>
      <c r="B367" s="34"/>
      <c r="C367" s="34"/>
      <c r="D367" s="35"/>
      <c r="E367" s="35"/>
      <c r="F367" s="35"/>
      <c r="G367" s="35"/>
      <c r="H367" s="34"/>
      <c r="I367" s="34"/>
      <c r="J367" s="34"/>
      <c r="K367" s="34"/>
      <c r="L367" s="34"/>
      <c r="M367" s="34"/>
      <c r="N367" s="34"/>
      <c r="O367" s="34"/>
    </row>
    <row r="368">
      <c r="A368" s="33"/>
      <c r="B368" s="34"/>
      <c r="C368" s="34"/>
      <c r="D368" s="35"/>
      <c r="E368" s="35"/>
      <c r="F368" s="35"/>
      <c r="G368" s="35"/>
      <c r="H368" s="34"/>
      <c r="I368" s="34"/>
      <c r="J368" s="34"/>
      <c r="K368" s="34"/>
      <c r="L368" s="34"/>
      <c r="M368" s="34"/>
      <c r="N368" s="34"/>
      <c r="O368" s="34"/>
    </row>
    <row r="369">
      <c r="A369" s="33"/>
      <c r="B369" s="34"/>
      <c r="C369" s="34"/>
      <c r="D369" s="35"/>
      <c r="E369" s="35"/>
      <c r="F369" s="35"/>
      <c r="G369" s="35"/>
      <c r="H369" s="34"/>
      <c r="I369" s="34"/>
      <c r="J369" s="34"/>
      <c r="K369" s="34"/>
      <c r="L369" s="34"/>
      <c r="M369" s="34"/>
      <c r="N369" s="34"/>
      <c r="O369" s="34"/>
    </row>
    <row r="370">
      <c r="A370" s="33"/>
      <c r="B370" s="34"/>
      <c r="C370" s="34"/>
      <c r="D370" s="35"/>
      <c r="E370" s="35"/>
      <c r="F370" s="35"/>
      <c r="G370" s="35"/>
      <c r="H370" s="34"/>
      <c r="I370" s="34"/>
      <c r="J370" s="34"/>
      <c r="K370" s="34"/>
      <c r="L370" s="34"/>
      <c r="M370" s="34"/>
      <c r="N370" s="34"/>
      <c r="O370" s="34"/>
    </row>
    <row r="371">
      <c r="A371" s="33"/>
      <c r="B371" s="34"/>
      <c r="C371" s="34"/>
      <c r="D371" s="35"/>
      <c r="E371" s="35"/>
      <c r="F371" s="35"/>
      <c r="G371" s="35"/>
      <c r="H371" s="34"/>
      <c r="I371" s="34"/>
      <c r="J371" s="34"/>
      <c r="K371" s="34"/>
      <c r="L371" s="34"/>
      <c r="M371" s="34"/>
      <c r="N371" s="34"/>
      <c r="O371" s="34"/>
    </row>
    <row r="372">
      <c r="A372" s="33"/>
      <c r="B372" s="34"/>
      <c r="C372" s="34"/>
      <c r="D372" s="35"/>
      <c r="E372" s="35"/>
      <c r="F372" s="35"/>
      <c r="G372" s="35"/>
      <c r="H372" s="34"/>
      <c r="I372" s="34"/>
      <c r="J372" s="34"/>
      <c r="K372" s="34"/>
      <c r="L372" s="34"/>
      <c r="M372" s="34"/>
      <c r="N372" s="34"/>
      <c r="O372" s="34"/>
    </row>
    <row r="373">
      <c r="A373" s="33"/>
      <c r="B373" s="34"/>
      <c r="C373" s="34"/>
      <c r="D373" s="35"/>
      <c r="E373" s="35"/>
      <c r="F373" s="35"/>
      <c r="G373" s="35"/>
      <c r="H373" s="34"/>
      <c r="I373" s="34"/>
      <c r="J373" s="34"/>
      <c r="K373" s="34"/>
      <c r="L373" s="34"/>
      <c r="M373" s="34"/>
      <c r="N373" s="34"/>
      <c r="O373" s="34"/>
    </row>
    <row r="374">
      <c r="A374" s="33"/>
      <c r="B374" s="34"/>
      <c r="C374" s="34"/>
      <c r="D374" s="35"/>
      <c r="E374" s="35"/>
      <c r="F374" s="35"/>
      <c r="G374" s="35"/>
      <c r="H374" s="34"/>
      <c r="I374" s="34"/>
      <c r="J374" s="34"/>
      <c r="K374" s="34"/>
      <c r="L374" s="34"/>
      <c r="M374" s="34"/>
      <c r="N374" s="34"/>
      <c r="O374" s="34"/>
    </row>
    <row r="375">
      <c r="A375" s="33"/>
      <c r="B375" s="34"/>
      <c r="C375" s="34"/>
      <c r="D375" s="35"/>
      <c r="E375" s="35"/>
      <c r="F375" s="35"/>
      <c r="G375" s="35"/>
      <c r="H375" s="34"/>
      <c r="I375" s="34"/>
      <c r="J375" s="34"/>
      <c r="K375" s="34"/>
      <c r="L375" s="34"/>
      <c r="M375" s="34"/>
      <c r="N375" s="34"/>
      <c r="O375" s="34"/>
    </row>
    <row r="376">
      <c r="A376" s="33"/>
      <c r="B376" s="34"/>
      <c r="C376" s="34"/>
      <c r="D376" s="35"/>
      <c r="E376" s="35"/>
      <c r="F376" s="35"/>
      <c r="G376" s="35"/>
      <c r="H376" s="34"/>
      <c r="I376" s="34"/>
      <c r="J376" s="34"/>
      <c r="K376" s="34"/>
      <c r="L376" s="34"/>
      <c r="M376" s="34"/>
      <c r="N376" s="34"/>
      <c r="O376" s="34"/>
    </row>
    <row r="377">
      <c r="A377" s="33"/>
      <c r="B377" s="34"/>
      <c r="C377" s="34"/>
      <c r="D377" s="35"/>
      <c r="E377" s="35"/>
      <c r="F377" s="35"/>
      <c r="G377" s="35"/>
      <c r="H377" s="34"/>
      <c r="I377" s="34"/>
      <c r="J377" s="34"/>
      <c r="K377" s="34"/>
      <c r="L377" s="34"/>
      <c r="M377" s="34"/>
      <c r="N377" s="34"/>
      <c r="O377" s="34"/>
    </row>
    <row r="378">
      <c r="A378" s="33"/>
      <c r="B378" s="34"/>
      <c r="C378" s="34"/>
      <c r="D378" s="35"/>
      <c r="E378" s="35"/>
      <c r="F378" s="35"/>
      <c r="G378" s="35"/>
      <c r="H378" s="34"/>
      <c r="I378" s="34"/>
      <c r="J378" s="34"/>
      <c r="K378" s="34"/>
      <c r="L378" s="34"/>
      <c r="M378" s="34"/>
      <c r="N378" s="34"/>
      <c r="O378" s="34"/>
    </row>
    <row r="379">
      <c r="A379" s="33"/>
      <c r="B379" s="34"/>
      <c r="C379" s="34"/>
      <c r="D379" s="35"/>
      <c r="E379" s="35"/>
      <c r="F379" s="35"/>
      <c r="G379" s="35"/>
      <c r="H379" s="34"/>
      <c r="I379" s="34"/>
      <c r="J379" s="34"/>
      <c r="K379" s="34"/>
      <c r="L379" s="34"/>
      <c r="M379" s="34"/>
      <c r="N379" s="34"/>
      <c r="O379" s="34"/>
    </row>
    <row r="380">
      <c r="A380" s="33"/>
      <c r="B380" s="34"/>
      <c r="C380" s="34"/>
      <c r="D380" s="35"/>
      <c r="E380" s="35"/>
      <c r="F380" s="35"/>
      <c r="G380" s="35"/>
      <c r="H380" s="34"/>
      <c r="I380" s="34"/>
      <c r="J380" s="34"/>
      <c r="K380" s="34"/>
      <c r="L380" s="34"/>
      <c r="M380" s="34"/>
      <c r="N380" s="34"/>
      <c r="O380" s="34"/>
    </row>
    <row r="381">
      <c r="A381" s="33"/>
      <c r="B381" s="34"/>
      <c r="C381" s="34"/>
      <c r="D381" s="35"/>
      <c r="E381" s="35"/>
      <c r="F381" s="35"/>
      <c r="G381" s="35"/>
      <c r="H381" s="34"/>
      <c r="I381" s="34"/>
      <c r="J381" s="34"/>
      <c r="K381" s="34"/>
      <c r="L381" s="34"/>
      <c r="M381" s="34"/>
      <c r="N381" s="34"/>
      <c r="O381" s="34"/>
    </row>
    <row r="382">
      <c r="A382" s="33"/>
      <c r="B382" s="34"/>
      <c r="C382" s="34"/>
      <c r="D382" s="35"/>
      <c r="E382" s="35"/>
      <c r="F382" s="35"/>
      <c r="G382" s="35"/>
      <c r="H382" s="34"/>
      <c r="I382" s="34"/>
      <c r="J382" s="34"/>
      <c r="K382" s="34"/>
      <c r="L382" s="34"/>
      <c r="M382" s="34"/>
      <c r="N382" s="34"/>
      <c r="O382" s="34"/>
    </row>
    <row r="383">
      <c r="A383" s="33"/>
      <c r="B383" s="34"/>
      <c r="C383" s="34"/>
      <c r="D383" s="35"/>
      <c r="E383" s="35"/>
      <c r="F383" s="35"/>
      <c r="G383" s="35"/>
      <c r="H383" s="34"/>
      <c r="I383" s="34"/>
      <c r="J383" s="34"/>
      <c r="K383" s="34"/>
      <c r="L383" s="34"/>
      <c r="M383" s="34"/>
      <c r="N383" s="34"/>
      <c r="O383" s="34"/>
    </row>
    <row r="384">
      <c r="A384" s="33"/>
      <c r="B384" s="34"/>
      <c r="C384" s="34"/>
      <c r="D384" s="35"/>
      <c r="E384" s="35"/>
      <c r="F384" s="35"/>
      <c r="G384" s="35"/>
      <c r="H384" s="34"/>
      <c r="I384" s="34"/>
      <c r="J384" s="34"/>
      <c r="K384" s="34"/>
      <c r="L384" s="34"/>
      <c r="M384" s="34"/>
      <c r="N384" s="34"/>
      <c r="O384" s="34"/>
    </row>
    <row r="385">
      <c r="A385" s="33"/>
      <c r="B385" s="34"/>
      <c r="C385" s="34"/>
      <c r="D385" s="35"/>
      <c r="E385" s="35"/>
      <c r="F385" s="35"/>
      <c r="G385" s="35"/>
      <c r="H385" s="34"/>
      <c r="I385" s="34"/>
      <c r="J385" s="34"/>
      <c r="K385" s="34"/>
      <c r="L385" s="34"/>
      <c r="M385" s="34"/>
      <c r="N385" s="34"/>
      <c r="O385" s="34"/>
    </row>
    <row r="386">
      <c r="A386" s="33"/>
      <c r="B386" s="34"/>
      <c r="C386" s="34"/>
      <c r="D386" s="35"/>
      <c r="E386" s="35"/>
      <c r="F386" s="35"/>
      <c r="G386" s="35"/>
      <c r="H386" s="34"/>
      <c r="I386" s="34"/>
      <c r="J386" s="34"/>
      <c r="K386" s="34"/>
      <c r="L386" s="34"/>
      <c r="M386" s="34"/>
      <c r="N386" s="34"/>
      <c r="O386" s="34"/>
    </row>
    <row r="387">
      <c r="A387" s="33"/>
      <c r="B387" s="34"/>
      <c r="C387" s="34"/>
      <c r="D387" s="35"/>
      <c r="E387" s="35"/>
      <c r="F387" s="35"/>
      <c r="G387" s="35"/>
      <c r="H387" s="34"/>
      <c r="I387" s="34"/>
      <c r="J387" s="34"/>
      <c r="K387" s="34"/>
      <c r="L387" s="34"/>
      <c r="M387" s="34"/>
      <c r="N387" s="34"/>
      <c r="O387" s="34"/>
    </row>
    <row r="388">
      <c r="A388" s="33"/>
      <c r="B388" s="34"/>
      <c r="C388" s="34"/>
      <c r="D388" s="35"/>
      <c r="E388" s="35"/>
      <c r="F388" s="35"/>
      <c r="G388" s="35"/>
      <c r="H388" s="34"/>
      <c r="I388" s="34"/>
      <c r="J388" s="34"/>
      <c r="K388" s="34"/>
      <c r="L388" s="34"/>
      <c r="M388" s="34"/>
      <c r="N388" s="34"/>
      <c r="O388" s="34"/>
    </row>
    <row r="389">
      <c r="A389" s="33"/>
      <c r="B389" s="34"/>
      <c r="C389" s="34"/>
      <c r="D389" s="35"/>
      <c r="E389" s="35"/>
      <c r="F389" s="35"/>
      <c r="G389" s="35"/>
      <c r="H389" s="34"/>
      <c r="I389" s="34"/>
      <c r="J389" s="34"/>
      <c r="K389" s="34"/>
      <c r="L389" s="34"/>
      <c r="M389" s="34"/>
      <c r="N389" s="34"/>
      <c r="O389" s="34"/>
    </row>
    <row r="390">
      <c r="A390" s="33"/>
      <c r="B390" s="34"/>
      <c r="C390" s="34"/>
      <c r="D390" s="35"/>
      <c r="E390" s="35"/>
      <c r="F390" s="35"/>
      <c r="G390" s="35"/>
      <c r="H390" s="34"/>
      <c r="I390" s="34"/>
      <c r="J390" s="34"/>
      <c r="K390" s="34"/>
      <c r="L390" s="34"/>
      <c r="M390" s="34"/>
      <c r="N390" s="34"/>
      <c r="O390" s="34"/>
    </row>
    <row r="391">
      <c r="A391" s="33"/>
      <c r="B391" s="34"/>
      <c r="C391" s="34"/>
      <c r="D391" s="35"/>
      <c r="E391" s="35"/>
      <c r="F391" s="35"/>
      <c r="G391" s="35"/>
      <c r="H391" s="34"/>
      <c r="I391" s="34"/>
      <c r="J391" s="34"/>
      <c r="K391" s="34"/>
      <c r="L391" s="34"/>
      <c r="M391" s="34"/>
      <c r="N391" s="34"/>
      <c r="O391" s="34"/>
    </row>
    <row r="392">
      <c r="A392" s="33"/>
      <c r="B392" s="34"/>
      <c r="C392" s="34"/>
      <c r="D392" s="35"/>
      <c r="E392" s="35"/>
      <c r="F392" s="35"/>
      <c r="G392" s="35"/>
      <c r="H392" s="34"/>
      <c r="I392" s="34"/>
      <c r="J392" s="34"/>
      <c r="K392" s="34"/>
      <c r="L392" s="34"/>
      <c r="M392" s="34"/>
      <c r="N392" s="34"/>
      <c r="O392" s="34"/>
    </row>
    <row r="393">
      <c r="A393" s="33"/>
      <c r="B393" s="34"/>
      <c r="C393" s="34"/>
      <c r="D393" s="35"/>
      <c r="E393" s="35"/>
      <c r="F393" s="35"/>
      <c r="G393" s="35"/>
      <c r="H393" s="34"/>
      <c r="I393" s="34"/>
      <c r="J393" s="34"/>
      <c r="K393" s="34"/>
      <c r="L393" s="34"/>
      <c r="M393" s="34"/>
      <c r="N393" s="34"/>
      <c r="O393" s="34"/>
    </row>
    <row r="394">
      <c r="A394" s="33"/>
      <c r="B394" s="34"/>
      <c r="C394" s="34"/>
      <c r="D394" s="35"/>
      <c r="E394" s="35"/>
      <c r="F394" s="35"/>
      <c r="G394" s="35"/>
      <c r="H394" s="34"/>
      <c r="I394" s="34"/>
      <c r="J394" s="34"/>
      <c r="K394" s="34"/>
      <c r="L394" s="34"/>
      <c r="M394" s="34"/>
      <c r="N394" s="34"/>
      <c r="O394" s="34"/>
    </row>
    <row r="395">
      <c r="A395" s="33"/>
      <c r="B395" s="34"/>
      <c r="C395" s="34"/>
      <c r="D395" s="35"/>
      <c r="E395" s="35"/>
      <c r="F395" s="35"/>
      <c r="G395" s="35"/>
      <c r="H395" s="34"/>
      <c r="I395" s="34"/>
      <c r="J395" s="34"/>
      <c r="K395" s="34"/>
      <c r="L395" s="34"/>
      <c r="M395" s="34"/>
      <c r="N395" s="34"/>
      <c r="O395" s="34"/>
    </row>
    <row r="396">
      <c r="A396" s="33"/>
      <c r="B396" s="34"/>
      <c r="C396" s="34"/>
      <c r="D396" s="35"/>
      <c r="E396" s="35"/>
      <c r="F396" s="35"/>
      <c r="G396" s="35"/>
      <c r="H396" s="34"/>
      <c r="I396" s="34"/>
      <c r="J396" s="34"/>
      <c r="K396" s="34"/>
      <c r="L396" s="34"/>
      <c r="M396" s="34"/>
      <c r="N396" s="34"/>
      <c r="O396" s="34"/>
    </row>
    <row r="397">
      <c r="A397" s="33"/>
      <c r="B397" s="34"/>
      <c r="C397" s="34"/>
      <c r="D397" s="35"/>
      <c r="E397" s="35"/>
      <c r="F397" s="35"/>
      <c r="G397" s="35"/>
      <c r="H397" s="34"/>
      <c r="I397" s="34"/>
      <c r="J397" s="34"/>
      <c r="K397" s="34"/>
      <c r="L397" s="34"/>
      <c r="M397" s="34"/>
      <c r="N397" s="34"/>
      <c r="O397" s="34"/>
    </row>
    <row r="398">
      <c r="A398" s="33"/>
      <c r="B398" s="34"/>
      <c r="C398" s="34"/>
      <c r="D398" s="35"/>
      <c r="E398" s="35"/>
      <c r="F398" s="35"/>
      <c r="G398" s="35"/>
      <c r="H398" s="34"/>
      <c r="I398" s="34"/>
      <c r="J398" s="34"/>
      <c r="K398" s="34"/>
      <c r="L398" s="34"/>
      <c r="M398" s="34"/>
      <c r="N398" s="34"/>
      <c r="O398" s="34"/>
    </row>
    <row r="399">
      <c r="A399" s="33"/>
      <c r="B399" s="34"/>
      <c r="C399" s="34"/>
      <c r="D399" s="35"/>
      <c r="E399" s="35"/>
      <c r="F399" s="35"/>
      <c r="G399" s="35"/>
      <c r="H399" s="34"/>
      <c r="I399" s="34"/>
      <c r="J399" s="34"/>
      <c r="K399" s="34"/>
      <c r="L399" s="34"/>
      <c r="M399" s="34"/>
      <c r="N399" s="34"/>
      <c r="O399" s="34"/>
    </row>
    <row r="400">
      <c r="A400" s="33"/>
      <c r="B400" s="34"/>
      <c r="C400" s="34"/>
      <c r="D400" s="35"/>
      <c r="E400" s="35"/>
      <c r="F400" s="35"/>
      <c r="G400" s="35"/>
      <c r="H400" s="34"/>
      <c r="I400" s="34"/>
      <c r="J400" s="34"/>
      <c r="K400" s="34"/>
      <c r="L400" s="34"/>
      <c r="M400" s="34"/>
      <c r="N400" s="34"/>
      <c r="O400" s="34"/>
    </row>
    <row r="401">
      <c r="A401" s="33"/>
      <c r="B401" s="34"/>
      <c r="C401" s="34"/>
      <c r="D401" s="35"/>
      <c r="E401" s="35"/>
      <c r="F401" s="35"/>
      <c r="G401" s="35"/>
      <c r="H401" s="34"/>
      <c r="I401" s="34"/>
      <c r="J401" s="34"/>
      <c r="K401" s="34"/>
      <c r="L401" s="34"/>
      <c r="M401" s="34"/>
      <c r="N401" s="34"/>
      <c r="O401" s="34"/>
    </row>
    <row r="402">
      <c r="A402" s="33"/>
      <c r="B402" s="34"/>
      <c r="C402" s="34"/>
      <c r="D402" s="35"/>
      <c r="E402" s="35"/>
      <c r="F402" s="35"/>
      <c r="G402" s="35"/>
      <c r="H402" s="34"/>
      <c r="I402" s="34"/>
      <c r="J402" s="34"/>
      <c r="K402" s="34"/>
      <c r="L402" s="34"/>
      <c r="M402" s="34"/>
      <c r="N402" s="34"/>
      <c r="O402" s="34"/>
    </row>
    <row r="403">
      <c r="A403" s="33"/>
      <c r="B403" s="34"/>
      <c r="C403" s="34"/>
      <c r="D403" s="35"/>
      <c r="E403" s="35"/>
      <c r="F403" s="35"/>
      <c r="G403" s="35"/>
      <c r="H403" s="34"/>
      <c r="I403" s="34"/>
      <c r="J403" s="34"/>
      <c r="K403" s="34"/>
      <c r="L403" s="34"/>
      <c r="M403" s="34"/>
      <c r="N403" s="34"/>
      <c r="O403" s="34"/>
    </row>
    <row r="404">
      <c r="A404" s="33"/>
      <c r="B404" s="34"/>
      <c r="C404" s="34"/>
      <c r="D404" s="35"/>
      <c r="E404" s="35"/>
      <c r="F404" s="35"/>
      <c r="G404" s="35"/>
      <c r="H404" s="34"/>
      <c r="I404" s="34"/>
      <c r="J404" s="34"/>
      <c r="K404" s="34"/>
      <c r="L404" s="34"/>
      <c r="M404" s="34"/>
      <c r="N404" s="34"/>
      <c r="O404" s="34"/>
    </row>
    <row r="405">
      <c r="A405" s="33"/>
      <c r="B405" s="34"/>
      <c r="C405" s="34"/>
      <c r="D405" s="35"/>
      <c r="E405" s="35"/>
      <c r="F405" s="35"/>
      <c r="G405" s="35"/>
      <c r="H405" s="34"/>
      <c r="I405" s="34"/>
      <c r="J405" s="34"/>
      <c r="K405" s="34"/>
      <c r="L405" s="34"/>
      <c r="M405" s="34"/>
      <c r="N405" s="34"/>
      <c r="O405" s="34"/>
    </row>
    <row r="406">
      <c r="A406" s="33"/>
      <c r="B406" s="34"/>
      <c r="C406" s="34"/>
      <c r="D406" s="35"/>
      <c r="E406" s="35"/>
      <c r="F406" s="35"/>
      <c r="G406" s="35"/>
      <c r="H406" s="34"/>
      <c r="I406" s="34"/>
      <c r="J406" s="34"/>
      <c r="K406" s="34"/>
      <c r="L406" s="34"/>
      <c r="M406" s="34"/>
      <c r="N406" s="34"/>
      <c r="O406" s="34"/>
    </row>
    <row r="407">
      <c r="A407" s="33"/>
      <c r="B407" s="34"/>
      <c r="C407" s="34"/>
      <c r="D407" s="35"/>
      <c r="E407" s="35"/>
      <c r="F407" s="35"/>
      <c r="G407" s="35"/>
      <c r="H407" s="34"/>
      <c r="I407" s="34"/>
      <c r="J407" s="34"/>
      <c r="K407" s="34"/>
      <c r="L407" s="34"/>
      <c r="M407" s="34"/>
      <c r="N407" s="34"/>
      <c r="O407" s="34"/>
    </row>
    <row r="408">
      <c r="A408" s="33"/>
      <c r="B408" s="34"/>
      <c r="C408" s="34"/>
      <c r="D408" s="35"/>
      <c r="E408" s="35"/>
      <c r="F408" s="35"/>
      <c r="G408" s="35"/>
      <c r="H408" s="34"/>
      <c r="I408" s="34"/>
      <c r="J408" s="34"/>
      <c r="K408" s="34"/>
      <c r="L408" s="34"/>
      <c r="M408" s="34"/>
      <c r="N408" s="34"/>
      <c r="O408" s="34"/>
    </row>
    <row r="409">
      <c r="A409" s="33"/>
      <c r="B409" s="34"/>
      <c r="C409" s="34"/>
      <c r="D409" s="35"/>
      <c r="E409" s="35"/>
      <c r="F409" s="35"/>
      <c r="G409" s="35"/>
      <c r="H409" s="34"/>
      <c r="I409" s="34"/>
      <c r="J409" s="34"/>
      <c r="K409" s="34"/>
      <c r="L409" s="34"/>
      <c r="M409" s="34"/>
      <c r="N409" s="34"/>
      <c r="O409" s="34"/>
    </row>
    <row r="410">
      <c r="A410" s="33"/>
      <c r="B410" s="34"/>
      <c r="C410" s="34"/>
      <c r="D410" s="35"/>
      <c r="E410" s="35"/>
      <c r="F410" s="35"/>
      <c r="G410" s="35"/>
      <c r="H410" s="34"/>
      <c r="I410" s="34"/>
      <c r="J410" s="34"/>
      <c r="K410" s="34"/>
      <c r="L410" s="34"/>
      <c r="M410" s="34"/>
      <c r="N410" s="34"/>
      <c r="O410" s="34"/>
    </row>
    <row r="411">
      <c r="A411" s="33"/>
      <c r="B411" s="34"/>
      <c r="C411" s="34"/>
      <c r="D411" s="35"/>
      <c r="E411" s="35"/>
      <c r="F411" s="35"/>
      <c r="G411" s="35"/>
      <c r="H411" s="34"/>
      <c r="I411" s="34"/>
      <c r="J411" s="34"/>
      <c r="K411" s="34"/>
      <c r="L411" s="34"/>
      <c r="M411" s="34"/>
      <c r="N411" s="34"/>
      <c r="O411" s="34"/>
    </row>
    <row r="412">
      <c r="A412" s="33"/>
      <c r="B412" s="34"/>
      <c r="C412" s="34"/>
      <c r="D412" s="35"/>
      <c r="E412" s="35"/>
      <c r="F412" s="35"/>
      <c r="G412" s="35"/>
      <c r="H412" s="34"/>
      <c r="I412" s="34"/>
      <c r="J412" s="34"/>
      <c r="K412" s="34"/>
      <c r="L412" s="34"/>
      <c r="M412" s="34"/>
      <c r="N412" s="34"/>
      <c r="O412" s="34"/>
    </row>
    <row r="413">
      <c r="A413" s="33"/>
      <c r="B413" s="34"/>
      <c r="C413" s="34"/>
      <c r="D413" s="35"/>
      <c r="E413" s="35"/>
      <c r="F413" s="35"/>
      <c r="G413" s="35"/>
      <c r="H413" s="34"/>
      <c r="I413" s="34"/>
      <c r="J413" s="34"/>
      <c r="K413" s="34"/>
      <c r="L413" s="34"/>
      <c r="M413" s="34"/>
      <c r="N413" s="34"/>
      <c r="O413" s="34"/>
    </row>
    <row r="414">
      <c r="A414" s="33"/>
      <c r="B414" s="34"/>
      <c r="C414" s="34"/>
      <c r="D414" s="35"/>
      <c r="E414" s="35"/>
      <c r="F414" s="35"/>
      <c r="G414" s="35"/>
      <c r="H414" s="34"/>
      <c r="I414" s="34"/>
      <c r="J414" s="34"/>
      <c r="K414" s="34"/>
      <c r="L414" s="34"/>
      <c r="M414" s="34"/>
      <c r="N414" s="34"/>
      <c r="O414" s="34"/>
    </row>
    <row r="415">
      <c r="A415" s="33"/>
      <c r="B415" s="34"/>
      <c r="C415" s="34"/>
      <c r="D415" s="35"/>
      <c r="E415" s="35"/>
      <c r="F415" s="35"/>
      <c r="G415" s="35"/>
      <c r="H415" s="34"/>
      <c r="I415" s="34"/>
      <c r="J415" s="34"/>
      <c r="K415" s="34"/>
      <c r="L415" s="34"/>
      <c r="M415" s="34"/>
      <c r="N415" s="34"/>
      <c r="O415" s="34"/>
    </row>
    <row r="416">
      <c r="A416" s="33"/>
      <c r="B416" s="34"/>
      <c r="C416" s="34"/>
      <c r="D416" s="35"/>
      <c r="E416" s="35"/>
      <c r="F416" s="35"/>
      <c r="G416" s="35"/>
      <c r="H416" s="34"/>
      <c r="I416" s="34"/>
      <c r="J416" s="34"/>
      <c r="K416" s="34"/>
      <c r="L416" s="34"/>
      <c r="M416" s="34"/>
      <c r="N416" s="34"/>
      <c r="O416" s="34"/>
    </row>
    <row r="417">
      <c r="A417" s="33"/>
      <c r="B417" s="34"/>
      <c r="C417" s="34"/>
      <c r="D417" s="35"/>
      <c r="E417" s="35"/>
      <c r="F417" s="35"/>
      <c r="G417" s="35"/>
      <c r="H417" s="34"/>
      <c r="I417" s="34"/>
      <c r="J417" s="34"/>
      <c r="K417" s="34"/>
      <c r="L417" s="34"/>
      <c r="M417" s="34"/>
      <c r="N417" s="34"/>
      <c r="O417" s="34"/>
    </row>
    <row r="418">
      <c r="A418" s="33"/>
      <c r="B418" s="34"/>
      <c r="C418" s="34"/>
      <c r="D418" s="35"/>
      <c r="E418" s="35"/>
      <c r="F418" s="35"/>
      <c r="G418" s="35"/>
      <c r="H418" s="34"/>
      <c r="I418" s="34"/>
      <c r="J418" s="34"/>
      <c r="K418" s="34"/>
      <c r="L418" s="34"/>
      <c r="M418" s="34"/>
      <c r="N418" s="34"/>
      <c r="O418" s="34"/>
    </row>
    <row r="419">
      <c r="A419" s="33"/>
      <c r="B419" s="34"/>
      <c r="C419" s="34"/>
      <c r="D419" s="35"/>
      <c r="E419" s="35"/>
      <c r="F419" s="35"/>
      <c r="G419" s="35"/>
      <c r="H419" s="34"/>
      <c r="I419" s="34"/>
      <c r="J419" s="34"/>
      <c r="K419" s="34"/>
      <c r="L419" s="34"/>
      <c r="M419" s="34"/>
      <c r="N419" s="34"/>
      <c r="O419" s="34"/>
    </row>
    <row r="420">
      <c r="A420" s="33"/>
      <c r="B420" s="34"/>
      <c r="C420" s="34"/>
      <c r="D420" s="35"/>
      <c r="E420" s="35"/>
      <c r="F420" s="35"/>
      <c r="G420" s="35"/>
      <c r="H420" s="34"/>
      <c r="I420" s="34"/>
      <c r="J420" s="34"/>
      <c r="K420" s="34"/>
      <c r="L420" s="34"/>
      <c r="M420" s="34"/>
      <c r="N420" s="34"/>
      <c r="O420" s="34"/>
    </row>
    <row r="421">
      <c r="A421" s="33"/>
      <c r="B421" s="34"/>
      <c r="C421" s="34"/>
      <c r="D421" s="35"/>
      <c r="E421" s="35"/>
      <c r="F421" s="35"/>
      <c r="G421" s="35"/>
      <c r="H421" s="34"/>
      <c r="I421" s="34"/>
      <c r="J421" s="34"/>
      <c r="K421" s="34"/>
      <c r="L421" s="34"/>
      <c r="M421" s="34"/>
      <c r="N421" s="34"/>
      <c r="O421" s="34"/>
    </row>
    <row r="422">
      <c r="A422" s="33"/>
      <c r="B422" s="34"/>
      <c r="C422" s="34"/>
      <c r="D422" s="35"/>
      <c r="E422" s="35"/>
      <c r="F422" s="35"/>
      <c r="G422" s="35"/>
      <c r="H422" s="34"/>
      <c r="I422" s="34"/>
      <c r="J422" s="34"/>
      <c r="K422" s="34"/>
      <c r="L422" s="34"/>
      <c r="M422" s="34"/>
      <c r="N422" s="34"/>
      <c r="O422" s="34"/>
    </row>
    <row r="423">
      <c r="A423" s="33"/>
      <c r="B423" s="34"/>
      <c r="C423" s="34"/>
      <c r="D423" s="35"/>
      <c r="E423" s="35"/>
      <c r="F423" s="35"/>
      <c r="G423" s="35"/>
      <c r="H423" s="34"/>
      <c r="I423" s="34"/>
      <c r="J423" s="34"/>
      <c r="K423" s="34"/>
      <c r="L423" s="34"/>
      <c r="M423" s="34"/>
      <c r="N423" s="34"/>
      <c r="O423" s="34"/>
    </row>
    <row r="424">
      <c r="A424" s="33"/>
      <c r="B424" s="34"/>
      <c r="C424" s="34"/>
      <c r="D424" s="35"/>
      <c r="E424" s="35"/>
      <c r="F424" s="35"/>
      <c r="G424" s="35"/>
      <c r="H424" s="34"/>
      <c r="I424" s="34"/>
      <c r="J424" s="34"/>
      <c r="K424" s="34"/>
      <c r="L424" s="34"/>
      <c r="M424" s="34"/>
      <c r="N424" s="34"/>
      <c r="O424" s="34"/>
    </row>
    <row r="425">
      <c r="A425" s="33"/>
      <c r="B425" s="34"/>
      <c r="C425" s="34"/>
      <c r="D425" s="35"/>
      <c r="E425" s="35"/>
      <c r="F425" s="35"/>
      <c r="G425" s="35"/>
      <c r="H425" s="34"/>
      <c r="I425" s="34"/>
      <c r="J425" s="34"/>
      <c r="K425" s="34"/>
      <c r="L425" s="34"/>
      <c r="M425" s="34"/>
      <c r="N425" s="34"/>
      <c r="O425" s="34"/>
    </row>
    <row r="426">
      <c r="A426" s="33"/>
      <c r="B426" s="34"/>
      <c r="C426" s="34"/>
      <c r="D426" s="35"/>
      <c r="E426" s="35"/>
      <c r="F426" s="35"/>
      <c r="G426" s="35"/>
      <c r="H426" s="34"/>
      <c r="I426" s="34"/>
      <c r="J426" s="34"/>
      <c r="K426" s="34"/>
      <c r="L426" s="34"/>
      <c r="M426" s="34"/>
      <c r="N426" s="34"/>
      <c r="O426" s="34"/>
    </row>
    <row r="427">
      <c r="A427" s="33"/>
      <c r="B427" s="34"/>
      <c r="C427" s="34"/>
      <c r="D427" s="35"/>
      <c r="E427" s="35"/>
      <c r="F427" s="35"/>
      <c r="G427" s="35"/>
      <c r="H427" s="34"/>
      <c r="I427" s="34"/>
      <c r="J427" s="34"/>
      <c r="K427" s="34"/>
      <c r="L427" s="34"/>
      <c r="M427" s="34"/>
      <c r="N427" s="34"/>
      <c r="O427" s="34"/>
    </row>
    <row r="428">
      <c r="A428" s="33"/>
      <c r="B428" s="34"/>
      <c r="C428" s="34"/>
      <c r="D428" s="35"/>
      <c r="E428" s="35"/>
      <c r="F428" s="35"/>
      <c r="G428" s="35"/>
      <c r="H428" s="34"/>
      <c r="I428" s="34"/>
      <c r="J428" s="34"/>
      <c r="K428" s="34"/>
      <c r="L428" s="34"/>
      <c r="M428" s="34"/>
      <c r="N428" s="34"/>
      <c r="O428" s="34"/>
    </row>
    <row r="429">
      <c r="A429" s="33"/>
      <c r="B429" s="34"/>
      <c r="C429" s="34"/>
      <c r="D429" s="35"/>
      <c r="E429" s="35"/>
      <c r="F429" s="35"/>
      <c r="G429" s="35"/>
      <c r="H429" s="34"/>
      <c r="I429" s="34"/>
      <c r="J429" s="34"/>
      <c r="K429" s="34"/>
      <c r="L429" s="34"/>
      <c r="M429" s="34"/>
      <c r="N429" s="34"/>
      <c r="O429" s="34"/>
    </row>
    <row r="430">
      <c r="A430" s="33"/>
      <c r="B430" s="34"/>
      <c r="C430" s="34"/>
      <c r="D430" s="35"/>
      <c r="E430" s="35"/>
      <c r="F430" s="35"/>
      <c r="G430" s="35"/>
      <c r="H430" s="34"/>
      <c r="I430" s="34"/>
      <c r="J430" s="34"/>
      <c r="K430" s="34"/>
      <c r="L430" s="34"/>
      <c r="M430" s="34"/>
      <c r="N430" s="34"/>
      <c r="O430" s="34"/>
    </row>
    <row r="431">
      <c r="A431" s="33"/>
      <c r="B431" s="34"/>
      <c r="C431" s="34"/>
      <c r="D431" s="35"/>
      <c r="E431" s="35"/>
      <c r="F431" s="35"/>
      <c r="G431" s="35"/>
      <c r="H431" s="34"/>
      <c r="I431" s="34"/>
      <c r="J431" s="34"/>
      <c r="K431" s="34"/>
      <c r="L431" s="34"/>
      <c r="M431" s="34"/>
      <c r="N431" s="34"/>
      <c r="O431" s="34"/>
    </row>
    <row r="432">
      <c r="A432" s="33"/>
      <c r="B432" s="34"/>
      <c r="C432" s="34"/>
      <c r="D432" s="35"/>
      <c r="E432" s="35"/>
      <c r="F432" s="35"/>
      <c r="G432" s="35"/>
      <c r="H432" s="34"/>
      <c r="I432" s="34"/>
      <c r="J432" s="34"/>
      <c r="K432" s="34"/>
      <c r="L432" s="34"/>
      <c r="M432" s="34"/>
      <c r="N432" s="34"/>
      <c r="O432" s="34"/>
    </row>
    <row r="433">
      <c r="A433" s="33"/>
      <c r="B433" s="34"/>
      <c r="C433" s="34"/>
      <c r="D433" s="35"/>
      <c r="E433" s="35"/>
      <c r="F433" s="35"/>
      <c r="G433" s="35"/>
      <c r="H433" s="34"/>
      <c r="I433" s="34"/>
      <c r="J433" s="34"/>
      <c r="K433" s="34"/>
      <c r="L433" s="34"/>
      <c r="M433" s="34"/>
      <c r="N433" s="34"/>
      <c r="O433" s="34"/>
    </row>
    <row r="434">
      <c r="A434" s="33"/>
      <c r="B434" s="34"/>
      <c r="C434" s="34"/>
      <c r="D434" s="35"/>
      <c r="E434" s="35"/>
      <c r="F434" s="35"/>
      <c r="G434" s="35"/>
      <c r="H434" s="34"/>
      <c r="I434" s="34"/>
      <c r="J434" s="34"/>
      <c r="K434" s="34"/>
      <c r="L434" s="34"/>
      <c r="M434" s="34"/>
      <c r="N434" s="34"/>
      <c r="O434" s="34"/>
    </row>
    <row r="435">
      <c r="A435" s="33"/>
      <c r="B435" s="34"/>
      <c r="C435" s="34"/>
      <c r="D435" s="35"/>
      <c r="E435" s="35"/>
      <c r="F435" s="35"/>
      <c r="G435" s="35"/>
      <c r="H435" s="34"/>
      <c r="I435" s="34"/>
      <c r="J435" s="34"/>
      <c r="K435" s="34"/>
      <c r="L435" s="34"/>
      <c r="M435" s="34"/>
      <c r="N435" s="34"/>
      <c r="O435" s="34"/>
    </row>
    <row r="436">
      <c r="A436" s="33"/>
      <c r="B436" s="34"/>
      <c r="C436" s="34"/>
      <c r="D436" s="35"/>
      <c r="E436" s="35"/>
      <c r="F436" s="35"/>
      <c r="G436" s="35"/>
      <c r="H436" s="34"/>
      <c r="I436" s="34"/>
      <c r="J436" s="34"/>
      <c r="K436" s="34"/>
      <c r="L436" s="34"/>
      <c r="M436" s="34"/>
      <c r="N436" s="34"/>
      <c r="O436" s="34"/>
    </row>
    <row r="437">
      <c r="A437" s="33"/>
      <c r="B437" s="34"/>
      <c r="C437" s="34"/>
      <c r="D437" s="35"/>
      <c r="E437" s="35"/>
      <c r="F437" s="35"/>
      <c r="G437" s="35"/>
      <c r="H437" s="34"/>
      <c r="I437" s="34"/>
      <c r="J437" s="34"/>
      <c r="K437" s="34"/>
      <c r="L437" s="34"/>
      <c r="M437" s="34"/>
      <c r="N437" s="34"/>
      <c r="O437" s="34"/>
    </row>
    <row r="438">
      <c r="A438" s="33"/>
      <c r="B438" s="34"/>
      <c r="C438" s="34"/>
      <c r="D438" s="35"/>
      <c r="E438" s="35"/>
      <c r="F438" s="35"/>
      <c r="G438" s="35"/>
      <c r="H438" s="34"/>
      <c r="I438" s="34"/>
      <c r="J438" s="34"/>
      <c r="K438" s="34"/>
      <c r="L438" s="34"/>
      <c r="M438" s="34"/>
      <c r="N438" s="34"/>
      <c r="O438" s="34"/>
    </row>
    <row r="439">
      <c r="A439" s="33"/>
      <c r="B439" s="34"/>
      <c r="C439" s="34"/>
      <c r="D439" s="35"/>
      <c r="E439" s="35"/>
      <c r="F439" s="35"/>
      <c r="G439" s="35"/>
      <c r="H439" s="34"/>
      <c r="I439" s="34"/>
      <c r="J439" s="34"/>
      <c r="K439" s="34"/>
      <c r="L439" s="34"/>
      <c r="M439" s="34"/>
      <c r="N439" s="34"/>
      <c r="O439" s="34"/>
    </row>
    <row r="440">
      <c r="A440" s="33"/>
      <c r="B440" s="34"/>
      <c r="C440" s="34"/>
      <c r="D440" s="35"/>
      <c r="E440" s="35"/>
      <c r="F440" s="35"/>
      <c r="G440" s="35"/>
      <c r="H440" s="34"/>
      <c r="I440" s="34"/>
      <c r="J440" s="34"/>
      <c r="K440" s="34"/>
      <c r="L440" s="34"/>
      <c r="M440" s="34"/>
      <c r="N440" s="34"/>
      <c r="O440" s="34"/>
    </row>
    <row r="441">
      <c r="A441" s="33"/>
      <c r="B441" s="34"/>
      <c r="C441" s="34"/>
      <c r="D441" s="35"/>
      <c r="E441" s="35"/>
      <c r="F441" s="35"/>
      <c r="G441" s="35"/>
      <c r="H441" s="34"/>
      <c r="I441" s="34"/>
      <c r="J441" s="34"/>
      <c r="K441" s="34"/>
      <c r="L441" s="34"/>
      <c r="M441" s="34"/>
      <c r="N441" s="34"/>
      <c r="O441" s="34"/>
    </row>
    <row r="442">
      <c r="A442" s="33"/>
      <c r="B442" s="34"/>
      <c r="C442" s="34"/>
      <c r="D442" s="35"/>
      <c r="E442" s="35"/>
      <c r="F442" s="35"/>
      <c r="G442" s="35"/>
      <c r="H442" s="34"/>
      <c r="I442" s="34"/>
      <c r="J442" s="34"/>
      <c r="K442" s="34"/>
      <c r="L442" s="34"/>
      <c r="M442" s="34"/>
      <c r="N442" s="34"/>
      <c r="O442" s="34"/>
    </row>
    <row r="443">
      <c r="A443" s="33"/>
      <c r="B443" s="34"/>
      <c r="C443" s="34"/>
      <c r="D443" s="35"/>
      <c r="E443" s="35"/>
      <c r="F443" s="35"/>
      <c r="G443" s="35"/>
      <c r="H443" s="34"/>
      <c r="I443" s="34"/>
      <c r="J443" s="34"/>
      <c r="K443" s="34"/>
      <c r="L443" s="34"/>
      <c r="M443" s="34"/>
      <c r="N443" s="34"/>
      <c r="O443" s="34"/>
    </row>
    <row r="444">
      <c r="A444" s="33"/>
      <c r="B444" s="34"/>
      <c r="C444" s="34"/>
      <c r="D444" s="35"/>
      <c r="E444" s="35"/>
      <c r="F444" s="35"/>
      <c r="G444" s="35"/>
      <c r="H444" s="34"/>
      <c r="I444" s="34"/>
      <c r="J444" s="34"/>
      <c r="K444" s="34"/>
      <c r="L444" s="34"/>
      <c r="M444" s="34"/>
      <c r="N444" s="34"/>
      <c r="O444" s="34"/>
    </row>
    <row r="445">
      <c r="A445" s="33"/>
      <c r="B445" s="34"/>
      <c r="C445" s="34"/>
      <c r="D445" s="35"/>
      <c r="E445" s="35"/>
      <c r="F445" s="35"/>
      <c r="G445" s="35"/>
      <c r="H445" s="34"/>
      <c r="I445" s="34"/>
      <c r="J445" s="34"/>
      <c r="K445" s="34"/>
      <c r="L445" s="34"/>
      <c r="M445" s="34"/>
      <c r="N445" s="34"/>
      <c r="O445" s="34"/>
    </row>
    <row r="446">
      <c r="A446" s="33"/>
      <c r="B446" s="34"/>
      <c r="C446" s="34"/>
      <c r="D446" s="35"/>
      <c r="E446" s="35"/>
      <c r="F446" s="35"/>
      <c r="G446" s="35"/>
      <c r="H446" s="34"/>
      <c r="I446" s="34"/>
      <c r="J446" s="34"/>
      <c r="K446" s="34"/>
      <c r="L446" s="34"/>
      <c r="M446" s="34"/>
      <c r="N446" s="34"/>
      <c r="O446" s="34"/>
    </row>
    <row r="447">
      <c r="A447" s="33"/>
      <c r="B447" s="34"/>
      <c r="C447" s="34"/>
      <c r="D447" s="35"/>
      <c r="E447" s="35"/>
      <c r="F447" s="35"/>
      <c r="G447" s="35"/>
      <c r="H447" s="34"/>
      <c r="I447" s="34"/>
      <c r="J447" s="34"/>
      <c r="K447" s="34"/>
      <c r="L447" s="34"/>
      <c r="M447" s="34"/>
      <c r="N447" s="34"/>
      <c r="O447" s="34"/>
    </row>
    <row r="448">
      <c r="A448" s="33"/>
      <c r="B448" s="34"/>
      <c r="C448" s="34"/>
      <c r="D448" s="35"/>
      <c r="E448" s="35"/>
      <c r="F448" s="35"/>
      <c r="G448" s="35"/>
      <c r="H448" s="34"/>
      <c r="I448" s="34"/>
      <c r="J448" s="34"/>
      <c r="K448" s="34"/>
      <c r="L448" s="34"/>
      <c r="M448" s="34"/>
      <c r="N448" s="34"/>
      <c r="O448" s="34"/>
    </row>
    <row r="449">
      <c r="A449" s="33"/>
      <c r="B449" s="34"/>
      <c r="C449" s="34"/>
      <c r="D449" s="35"/>
      <c r="E449" s="35"/>
      <c r="F449" s="35"/>
      <c r="G449" s="35"/>
      <c r="H449" s="34"/>
      <c r="I449" s="34"/>
      <c r="J449" s="34"/>
      <c r="K449" s="34"/>
      <c r="L449" s="34"/>
      <c r="M449" s="34"/>
      <c r="N449" s="34"/>
      <c r="O449" s="34"/>
    </row>
    <row r="450">
      <c r="A450" s="33"/>
      <c r="B450" s="34"/>
      <c r="C450" s="34"/>
      <c r="D450" s="35"/>
      <c r="E450" s="35"/>
      <c r="F450" s="35"/>
      <c r="G450" s="35"/>
      <c r="H450" s="34"/>
      <c r="I450" s="34"/>
      <c r="J450" s="34"/>
      <c r="K450" s="34"/>
      <c r="L450" s="34"/>
      <c r="M450" s="34"/>
      <c r="N450" s="34"/>
      <c r="O450" s="34"/>
    </row>
    <row r="451">
      <c r="A451" s="33"/>
      <c r="B451" s="34"/>
      <c r="C451" s="34"/>
      <c r="D451" s="35"/>
      <c r="E451" s="35"/>
      <c r="F451" s="35"/>
      <c r="G451" s="35"/>
      <c r="H451" s="34"/>
      <c r="I451" s="34"/>
      <c r="J451" s="34"/>
      <c r="K451" s="34"/>
      <c r="L451" s="34"/>
      <c r="M451" s="34"/>
      <c r="N451" s="34"/>
      <c r="O451" s="34"/>
    </row>
    <row r="452">
      <c r="A452" s="33"/>
      <c r="B452" s="34"/>
      <c r="C452" s="34"/>
      <c r="D452" s="35"/>
      <c r="E452" s="35"/>
      <c r="F452" s="35"/>
      <c r="G452" s="35"/>
      <c r="H452" s="34"/>
      <c r="I452" s="34"/>
      <c r="J452" s="34"/>
      <c r="K452" s="34"/>
      <c r="L452" s="34"/>
      <c r="M452" s="34"/>
      <c r="N452" s="34"/>
      <c r="O452" s="34"/>
    </row>
    <row r="453">
      <c r="A453" s="33"/>
      <c r="B453" s="34"/>
      <c r="C453" s="34"/>
      <c r="D453" s="35"/>
      <c r="E453" s="35"/>
      <c r="F453" s="35"/>
      <c r="G453" s="35"/>
      <c r="H453" s="34"/>
      <c r="I453" s="34"/>
      <c r="J453" s="34"/>
      <c r="K453" s="34"/>
      <c r="L453" s="34"/>
      <c r="M453" s="34"/>
      <c r="N453" s="34"/>
      <c r="O453" s="34"/>
    </row>
    <row r="454">
      <c r="A454" s="33"/>
      <c r="B454" s="34"/>
      <c r="C454" s="34"/>
      <c r="D454" s="35"/>
      <c r="E454" s="35"/>
      <c r="F454" s="35"/>
      <c r="G454" s="35"/>
      <c r="H454" s="34"/>
      <c r="I454" s="34"/>
      <c r="J454" s="34"/>
      <c r="K454" s="34"/>
      <c r="L454" s="34"/>
      <c r="M454" s="34"/>
      <c r="N454" s="34"/>
      <c r="O454" s="34"/>
    </row>
    <row r="455">
      <c r="A455" s="33"/>
      <c r="B455" s="34"/>
      <c r="C455" s="34"/>
      <c r="D455" s="35"/>
      <c r="E455" s="35"/>
      <c r="F455" s="35"/>
      <c r="G455" s="35"/>
      <c r="H455" s="34"/>
      <c r="I455" s="34"/>
      <c r="J455" s="34"/>
      <c r="K455" s="34"/>
      <c r="L455" s="34"/>
      <c r="M455" s="34"/>
      <c r="N455" s="34"/>
      <c r="O455" s="34"/>
    </row>
    <row r="456">
      <c r="A456" s="33"/>
      <c r="B456" s="34"/>
      <c r="C456" s="34"/>
      <c r="D456" s="35"/>
      <c r="E456" s="35"/>
      <c r="F456" s="35"/>
      <c r="G456" s="35"/>
      <c r="H456" s="34"/>
      <c r="I456" s="34"/>
      <c r="J456" s="34"/>
      <c r="K456" s="34"/>
      <c r="L456" s="34"/>
      <c r="M456" s="34"/>
      <c r="N456" s="34"/>
      <c r="O456" s="34"/>
    </row>
    <row r="457">
      <c r="A457" s="33"/>
      <c r="B457" s="34"/>
      <c r="C457" s="34"/>
      <c r="D457" s="35"/>
      <c r="E457" s="35"/>
      <c r="F457" s="35"/>
      <c r="G457" s="35"/>
      <c r="H457" s="34"/>
      <c r="I457" s="34"/>
      <c r="J457" s="34"/>
      <c r="K457" s="34"/>
      <c r="L457" s="34"/>
      <c r="M457" s="34"/>
      <c r="N457" s="34"/>
      <c r="O457" s="34"/>
    </row>
    <row r="458">
      <c r="A458" s="33"/>
      <c r="B458" s="34"/>
      <c r="C458" s="34"/>
      <c r="D458" s="35"/>
      <c r="E458" s="35"/>
      <c r="F458" s="35"/>
      <c r="G458" s="35"/>
      <c r="H458" s="34"/>
      <c r="I458" s="34"/>
      <c r="J458" s="34"/>
      <c r="K458" s="34"/>
      <c r="L458" s="34"/>
      <c r="M458" s="34"/>
      <c r="N458" s="34"/>
      <c r="O458" s="34"/>
    </row>
    <row r="459">
      <c r="A459" s="33"/>
      <c r="B459" s="34"/>
      <c r="C459" s="34"/>
      <c r="D459" s="35"/>
      <c r="E459" s="35"/>
      <c r="F459" s="35"/>
      <c r="G459" s="35"/>
      <c r="H459" s="34"/>
      <c r="I459" s="34"/>
      <c r="J459" s="34"/>
      <c r="K459" s="34"/>
      <c r="L459" s="34"/>
      <c r="M459" s="34"/>
      <c r="N459" s="34"/>
      <c r="O459" s="34"/>
    </row>
    <row r="460">
      <c r="A460" s="33"/>
      <c r="B460" s="34"/>
      <c r="C460" s="34"/>
      <c r="D460" s="35"/>
      <c r="E460" s="35"/>
      <c r="F460" s="35"/>
      <c r="G460" s="35"/>
      <c r="H460" s="34"/>
      <c r="I460" s="34"/>
      <c r="J460" s="34"/>
      <c r="K460" s="34"/>
      <c r="L460" s="34"/>
      <c r="M460" s="34"/>
      <c r="N460" s="34"/>
      <c r="O460" s="34"/>
    </row>
    <row r="461">
      <c r="A461" s="33"/>
      <c r="B461" s="34"/>
      <c r="C461" s="34"/>
      <c r="D461" s="35"/>
      <c r="E461" s="35"/>
      <c r="F461" s="35"/>
      <c r="G461" s="35"/>
      <c r="H461" s="34"/>
      <c r="I461" s="34"/>
      <c r="J461" s="34"/>
      <c r="K461" s="34"/>
      <c r="L461" s="34"/>
      <c r="M461" s="34"/>
      <c r="N461" s="34"/>
      <c r="O461" s="34"/>
    </row>
    <row r="462">
      <c r="A462" s="33"/>
      <c r="B462" s="34"/>
      <c r="C462" s="34"/>
      <c r="D462" s="35"/>
      <c r="E462" s="35"/>
      <c r="F462" s="35"/>
      <c r="G462" s="35"/>
      <c r="H462" s="34"/>
      <c r="I462" s="34"/>
      <c r="J462" s="34"/>
      <c r="K462" s="34"/>
      <c r="L462" s="34"/>
      <c r="M462" s="34"/>
      <c r="N462" s="34"/>
      <c r="O462" s="34"/>
    </row>
    <row r="463">
      <c r="A463" s="33"/>
      <c r="B463" s="34"/>
      <c r="C463" s="34"/>
      <c r="D463" s="35"/>
      <c r="E463" s="35"/>
      <c r="F463" s="35"/>
      <c r="G463" s="35"/>
      <c r="H463" s="34"/>
      <c r="I463" s="34"/>
      <c r="J463" s="34"/>
      <c r="K463" s="34"/>
      <c r="L463" s="34"/>
      <c r="M463" s="34"/>
      <c r="N463" s="34"/>
      <c r="O463" s="34"/>
    </row>
    <row r="464">
      <c r="A464" s="33"/>
      <c r="B464" s="34"/>
      <c r="C464" s="34"/>
      <c r="D464" s="35"/>
      <c r="E464" s="35"/>
      <c r="F464" s="35"/>
      <c r="G464" s="35"/>
      <c r="H464" s="34"/>
      <c r="I464" s="34"/>
      <c r="J464" s="34"/>
      <c r="K464" s="34"/>
      <c r="L464" s="34"/>
      <c r="M464" s="34"/>
      <c r="N464" s="34"/>
      <c r="O464" s="34"/>
    </row>
    <row r="465">
      <c r="A465" s="33"/>
      <c r="B465" s="34"/>
      <c r="C465" s="34"/>
      <c r="D465" s="35"/>
      <c r="E465" s="35"/>
      <c r="F465" s="35"/>
      <c r="G465" s="35"/>
      <c r="H465" s="34"/>
      <c r="I465" s="34"/>
      <c r="J465" s="34"/>
      <c r="K465" s="34"/>
      <c r="L465" s="34"/>
      <c r="M465" s="34"/>
      <c r="N465" s="34"/>
      <c r="O465" s="34"/>
    </row>
    <row r="466">
      <c r="A466" s="33"/>
      <c r="B466" s="34"/>
      <c r="C466" s="34"/>
      <c r="D466" s="35"/>
      <c r="E466" s="35"/>
      <c r="F466" s="35"/>
      <c r="G466" s="35"/>
      <c r="H466" s="34"/>
      <c r="I466" s="34"/>
      <c r="J466" s="34"/>
      <c r="K466" s="34"/>
      <c r="L466" s="34"/>
      <c r="M466" s="34"/>
      <c r="N466" s="34"/>
      <c r="O466" s="34"/>
    </row>
    <row r="467">
      <c r="A467" s="33"/>
      <c r="B467" s="34"/>
      <c r="C467" s="34"/>
      <c r="D467" s="35"/>
      <c r="E467" s="35"/>
      <c r="F467" s="35"/>
      <c r="G467" s="35"/>
      <c r="H467" s="34"/>
      <c r="I467" s="34"/>
      <c r="J467" s="34"/>
      <c r="K467" s="34"/>
      <c r="L467" s="34"/>
      <c r="M467" s="34"/>
      <c r="N467" s="34"/>
      <c r="O467" s="34"/>
    </row>
    <row r="468">
      <c r="A468" s="33"/>
      <c r="B468" s="34"/>
      <c r="C468" s="34"/>
      <c r="D468" s="35"/>
      <c r="E468" s="35"/>
      <c r="F468" s="35"/>
      <c r="G468" s="35"/>
      <c r="H468" s="34"/>
      <c r="I468" s="34"/>
      <c r="J468" s="34"/>
      <c r="K468" s="34"/>
      <c r="L468" s="34"/>
      <c r="M468" s="34"/>
      <c r="N468" s="34"/>
      <c r="O468" s="34"/>
    </row>
    <row r="469">
      <c r="A469" s="33"/>
      <c r="B469" s="34"/>
      <c r="C469" s="34"/>
      <c r="D469" s="35"/>
      <c r="E469" s="35"/>
      <c r="F469" s="35"/>
      <c r="G469" s="35"/>
      <c r="H469" s="34"/>
      <c r="I469" s="34"/>
      <c r="J469" s="34"/>
      <c r="K469" s="34"/>
      <c r="L469" s="34"/>
      <c r="M469" s="34"/>
      <c r="N469" s="34"/>
      <c r="O469" s="34"/>
    </row>
    <row r="470">
      <c r="A470" s="33"/>
      <c r="B470" s="34"/>
      <c r="C470" s="34"/>
      <c r="D470" s="35"/>
      <c r="E470" s="35"/>
      <c r="F470" s="35"/>
      <c r="G470" s="35"/>
      <c r="H470" s="34"/>
      <c r="I470" s="34"/>
      <c r="J470" s="34"/>
      <c r="K470" s="34"/>
      <c r="L470" s="34"/>
      <c r="M470" s="34"/>
      <c r="N470" s="34"/>
      <c r="O470" s="34"/>
    </row>
    <row r="471">
      <c r="A471" s="33"/>
      <c r="B471" s="34"/>
      <c r="C471" s="34"/>
      <c r="D471" s="35"/>
      <c r="E471" s="35"/>
      <c r="F471" s="35"/>
      <c r="G471" s="35"/>
      <c r="H471" s="34"/>
      <c r="I471" s="34"/>
      <c r="J471" s="34"/>
      <c r="K471" s="34"/>
      <c r="L471" s="34"/>
      <c r="M471" s="34"/>
      <c r="N471" s="34"/>
      <c r="O471" s="34"/>
    </row>
    <row r="472">
      <c r="A472" s="33"/>
      <c r="B472" s="34"/>
      <c r="C472" s="34"/>
      <c r="D472" s="35"/>
      <c r="E472" s="35"/>
      <c r="F472" s="35"/>
      <c r="G472" s="35"/>
      <c r="H472" s="34"/>
      <c r="I472" s="34"/>
      <c r="J472" s="34"/>
      <c r="K472" s="34"/>
      <c r="L472" s="34"/>
      <c r="M472" s="34"/>
      <c r="N472" s="34"/>
      <c r="O472" s="34"/>
    </row>
    <row r="473">
      <c r="A473" s="33"/>
      <c r="B473" s="34"/>
      <c r="C473" s="34"/>
      <c r="D473" s="35"/>
      <c r="E473" s="35"/>
      <c r="F473" s="35"/>
      <c r="G473" s="35"/>
      <c r="H473" s="34"/>
      <c r="I473" s="34"/>
      <c r="J473" s="34"/>
      <c r="K473" s="34"/>
      <c r="L473" s="34"/>
      <c r="M473" s="34"/>
      <c r="N473" s="34"/>
      <c r="O473" s="34"/>
    </row>
    <row r="474">
      <c r="A474" s="33"/>
      <c r="B474" s="34"/>
      <c r="C474" s="34"/>
      <c r="D474" s="35"/>
      <c r="E474" s="35"/>
      <c r="F474" s="35"/>
      <c r="G474" s="35"/>
      <c r="H474" s="34"/>
      <c r="I474" s="34"/>
      <c r="J474" s="34"/>
      <c r="K474" s="34"/>
      <c r="L474" s="34"/>
      <c r="M474" s="34"/>
      <c r="N474" s="34"/>
      <c r="O474" s="34"/>
    </row>
    <row r="475">
      <c r="A475" s="33"/>
      <c r="B475" s="34"/>
      <c r="C475" s="34"/>
      <c r="D475" s="35"/>
      <c r="E475" s="35"/>
      <c r="F475" s="35"/>
      <c r="G475" s="35"/>
      <c r="H475" s="34"/>
      <c r="I475" s="34"/>
      <c r="J475" s="34"/>
      <c r="K475" s="34"/>
      <c r="L475" s="34"/>
      <c r="M475" s="34"/>
      <c r="N475" s="34"/>
      <c r="O475" s="34"/>
    </row>
    <row r="476">
      <c r="A476" s="33"/>
      <c r="B476" s="34"/>
      <c r="C476" s="34"/>
      <c r="D476" s="35"/>
      <c r="E476" s="35"/>
      <c r="F476" s="35"/>
      <c r="G476" s="35"/>
      <c r="H476" s="34"/>
      <c r="I476" s="34"/>
      <c r="J476" s="34"/>
      <c r="K476" s="34"/>
      <c r="L476" s="34"/>
      <c r="M476" s="34"/>
      <c r="N476" s="34"/>
      <c r="O476" s="34"/>
    </row>
    <row r="477">
      <c r="A477" s="33"/>
      <c r="B477" s="34"/>
      <c r="C477" s="34"/>
      <c r="D477" s="35"/>
      <c r="E477" s="35"/>
      <c r="F477" s="35"/>
      <c r="G477" s="35"/>
      <c r="H477" s="34"/>
      <c r="I477" s="34"/>
      <c r="J477" s="34"/>
      <c r="K477" s="34"/>
      <c r="L477" s="34"/>
      <c r="M477" s="34"/>
      <c r="N477" s="34"/>
      <c r="O477" s="34"/>
    </row>
    <row r="478">
      <c r="A478" s="33"/>
      <c r="B478" s="34"/>
      <c r="C478" s="34"/>
      <c r="D478" s="35"/>
      <c r="E478" s="35"/>
      <c r="F478" s="35"/>
      <c r="G478" s="35"/>
      <c r="H478" s="34"/>
      <c r="I478" s="34"/>
      <c r="J478" s="34"/>
      <c r="K478" s="34"/>
      <c r="L478" s="34"/>
      <c r="M478" s="34"/>
      <c r="N478" s="34"/>
      <c r="O478" s="34"/>
    </row>
    <row r="479">
      <c r="A479" s="33"/>
      <c r="B479" s="34"/>
      <c r="C479" s="34"/>
      <c r="D479" s="35"/>
      <c r="E479" s="35"/>
      <c r="F479" s="35"/>
      <c r="G479" s="35"/>
      <c r="H479" s="34"/>
      <c r="I479" s="34"/>
      <c r="J479" s="34"/>
      <c r="K479" s="34"/>
      <c r="L479" s="34"/>
      <c r="M479" s="34"/>
      <c r="N479" s="34"/>
      <c r="O479" s="34"/>
    </row>
    <row r="480">
      <c r="A480" s="33"/>
      <c r="B480" s="34"/>
      <c r="C480" s="34"/>
      <c r="D480" s="35"/>
      <c r="E480" s="35"/>
      <c r="F480" s="35"/>
      <c r="G480" s="35"/>
      <c r="H480" s="34"/>
      <c r="I480" s="34"/>
      <c r="J480" s="34"/>
      <c r="K480" s="34"/>
      <c r="L480" s="34"/>
      <c r="M480" s="34"/>
      <c r="N480" s="34"/>
      <c r="O480" s="34"/>
    </row>
    <row r="481">
      <c r="A481" s="33"/>
      <c r="B481" s="34"/>
      <c r="C481" s="34"/>
      <c r="D481" s="35"/>
      <c r="E481" s="35"/>
      <c r="F481" s="35"/>
      <c r="G481" s="35"/>
      <c r="H481" s="34"/>
      <c r="I481" s="34"/>
      <c r="J481" s="34"/>
      <c r="K481" s="34"/>
      <c r="L481" s="34"/>
      <c r="M481" s="34"/>
      <c r="N481" s="34"/>
      <c r="O481" s="34"/>
    </row>
    <row r="482">
      <c r="A482" s="33"/>
      <c r="B482" s="34"/>
      <c r="C482" s="34"/>
      <c r="D482" s="35"/>
      <c r="E482" s="35"/>
      <c r="F482" s="35"/>
      <c r="G482" s="35"/>
      <c r="H482" s="34"/>
      <c r="I482" s="34"/>
      <c r="J482" s="34"/>
      <c r="K482" s="34"/>
      <c r="L482" s="34"/>
      <c r="M482" s="34"/>
      <c r="N482" s="34"/>
      <c r="O482" s="34"/>
    </row>
    <row r="483">
      <c r="A483" s="33"/>
      <c r="B483" s="34"/>
      <c r="C483" s="34"/>
      <c r="D483" s="35"/>
      <c r="E483" s="35"/>
      <c r="F483" s="35"/>
      <c r="G483" s="35"/>
      <c r="H483" s="34"/>
      <c r="I483" s="34"/>
      <c r="J483" s="34"/>
      <c r="K483" s="34"/>
      <c r="L483" s="34"/>
      <c r="M483" s="34"/>
      <c r="N483" s="34"/>
      <c r="O483" s="34"/>
    </row>
    <row r="484">
      <c r="A484" s="33"/>
      <c r="B484" s="34"/>
      <c r="C484" s="34"/>
      <c r="D484" s="35"/>
      <c r="E484" s="35"/>
      <c r="F484" s="35"/>
      <c r="G484" s="35"/>
      <c r="H484" s="34"/>
      <c r="I484" s="34"/>
      <c r="J484" s="34"/>
      <c r="K484" s="34"/>
      <c r="L484" s="34"/>
      <c r="M484" s="34"/>
      <c r="N484" s="34"/>
      <c r="O484" s="34"/>
    </row>
    <row r="485">
      <c r="A485" s="33"/>
      <c r="B485" s="34"/>
      <c r="C485" s="34"/>
      <c r="D485" s="35"/>
      <c r="E485" s="35"/>
      <c r="F485" s="35"/>
      <c r="G485" s="35"/>
      <c r="H485" s="34"/>
      <c r="I485" s="34"/>
      <c r="J485" s="34"/>
      <c r="K485" s="34"/>
      <c r="L485" s="34"/>
      <c r="M485" s="34"/>
      <c r="N485" s="34"/>
      <c r="O485" s="34"/>
    </row>
    <row r="486">
      <c r="A486" s="33"/>
      <c r="B486" s="34"/>
      <c r="C486" s="34"/>
      <c r="D486" s="35"/>
      <c r="E486" s="35"/>
      <c r="F486" s="35"/>
      <c r="G486" s="35"/>
      <c r="H486" s="34"/>
      <c r="I486" s="34"/>
      <c r="J486" s="34"/>
      <c r="K486" s="34"/>
      <c r="L486" s="34"/>
      <c r="M486" s="34"/>
      <c r="N486" s="34"/>
      <c r="O486" s="34"/>
    </row>
    <row r="487">
      <c r="A487" s="33"/>
      <c r="B487" s="34"/>
      <c r="C487" s="34"/>
      <c r="D487" s="35"/>
      <c r="E487" s="35"/>
      <c r="F487" s="35"/>
      <c r="G487" s="35"/>
      <c r="H487" s="34"/>
      <c r="I487" s="34"/>
      <c r="J487" s="34"/>
      <c r="K487" s="34"/>
      <c r="L487" s="34"/>
      <c r="M487" s="34"/>
      <c r="N487" s="34"/>
      <c r="O487" s="34"/>
    </row>
    <row r="488">
      <c r="A488" s="33"/>
      <c r="B488" s="34"/>
      <c r="C488" s="34"/>
      <c r="D488" s="35"/>
      <c r="E488" s="35"/>
      <c r="F488" s="35"/>
      <c r="G488" s="35"/>
      <c r="H488" s="34"/>
      <c r="I488" s="34"/>
      <c r="J488" s="34"/>
      <c r="K488" s="34"/>
      <c r="L488" s="34"/>
      <c r="M488" s="34"/>
      <c r="N488" s="34"/>
      <c r="O488" s="34"/>
    </row>
    <row r="489">
      <c r="A489" s="33"/>
      <c r="B489" s="34"/>
      <c r="C489" s="34"/>
      <c r="D489" s="35"/>
      <c r="E489" s="35"/>
      <c r="F489" s="35"/>
      <c r="G489" s="35"/>
      <c r="H489" s="34"/>
      <c r="I489" s="34"/>
      <c r="J489" s="34"/>
      <c r="K489" s="34"/>
      <c r="L489" s="34"/>
      <c r="M489" s="34"/>
      <c r="N489" s="34"/>
      <c r="O489" s="34"/>
    </row>
    <row r="490">
      <c r="A490" s="33"/>
      <c r="B490" s="34"/>
      <c r="C490" s="34"/>
      <c r="D490" s="35"/>
      <c r="E490" s="35"/>
      <c r="F490" s="35"/>
      <c r="G490" s="35"/>
      <c r="H490" s="34"/>
      <c r="I490" s="34"/>
      <c r="J490" s="34"/>
      <c r="K490" s="34"/>
      <c r="L490" s="34"/>
      <c r="M490" s="34"/>
      <c r="N490" s="34"/>
      <c r="O490" s="34"/>
    </row>
    <row r="491">
      <c r="A491" s="33"/>
      <c r="B491" s="34"/>
      <c r="C491" s="34"/>
      <c r="D491" s="35"/>
      <c r="E491" s="35"/>
      <c r="F491" s="35"/>
      <c r="G491" s="35"/>
      <c r="H491" s="34"/>
      <c r="I491" s="34"/>
      <c r="J491" s="34"/>
      <c r="K491" s="34"/>
      <c r="L491" s="34"/>
      <c r="M491" s="34"/>
      <c r="N491" s="34"/>
      <c r="O491" s="34"/>
    </row>
    <row r="492">
      <c r="A492" s="33"/>
      <c r="B492" s="34"/>
      <c r="C492" s="34"/>
      <c r="D492" s="35"/>
      <c r="E492" s="35"/>
      <c r="F492" s="35"/>
      <c r="G492" s="35"/>
      <c r="H492" s="34"/>
      <c r="I492" s="34"/>
      <c r="J492" s="34"/>
      <c r="K492" s="34"/>
      <c r="L492" s="34"/>
      <c r="M492" s="34"/>
      <c r="N492" s="34"/>
      <c r="O492" s="34"/>
    </row>
    <row r="493">
      <c r="A493" s="33"/>
      <c r="B493" s="34"/>
      <c r="C493" s="34"/>
      <c r="D493" s="35"/>
      <c r="E493" s="35"/>
      <c r="F493" s="35"/>
      <c r="G493" s="35"/>
      <c r="H493" s="34"/>
      <c r="I493" s="34"/>
      <c r="J493" s="34"/>
      <c r="K493" s="34"/>
      <c r="L493" s="34"/>
      <c r="M493" s="34"/>
      <c r="N493" s="34"/>
      <c r="O493" s="34"/>
    </row>
    <row r="494">
      <c r="A494" s="33"/>
      <c r="B494" s="34"/>
      <c r="C494" s="34"/>
      <c r="D494" s="35"/>
      <c r="E494" s="35"/>
      <c r="F494" s="35"/>
      <c r="G494" s="35"/>
      <c r="H494" s="34"/>
      <c r="I494" s="34"/>
      <c r="J494" s="34"/>
      <c r="K494" s="34"/>
      <c r="L494" s="34"/>
      <c r="M494" s="34"/>
      <c r="N494" s="34"/>
      <c r="O494" s="34"/>
    </row>
    <row r="495">
      <c r="A495" s="33"/>
      <c r="B495" s="34"/>
      <c r="C495" s="34"/>
      <c r="D495" s="35"/>
      <c r="E495" s="35"/>
      <c r="F495" s="35"/>
      <c r="G495" s="35"/>
      <c r="H495" s="34"/>
      <c r="I495" s="34"/>
      <c r="J495" s="34"/>
      <c r="K495" s="34"/>
      <c r="L495" s="34"/>
      <c r="M495" s="34"/>
      <c r="N495" s="34"/>
      <c r="O495" s="34"/>
    </row>
    <row r="496">
      <c r="A496" s="33"/>
      <c r="B496" s="34"/>
      <c r="C496" s="34"/>
      <c r="D496" s="35"/>
      <c r="E496" s="35"/>
      <c r="F496" s="35"/>
      <c r="G496" s="35"/>
      <c r="H496" s="34"/>
      <c r="I496" s="34"/>
      <c r="J496" s="34"/>
      <c r="K496" s="34"/>
      <c r="L496" s="34"/>
      <c r="M496" s="34"/>
      <c r="N496" s="34"/>
      <c r="O496" s="34"/>
    </row>
    <row r="497">
      <c r="A497" s="33"/>
      <c r="B497" s="34"/>
      <c r="C497" s="34"/>
      <c r="D497" s="35"/>
      <c r="E497" s="35"/>
      <c r="F497" s="35"/>
      <c r="G497" s="35"/>
      <c r="H497" s="34"/>
      <c r="I497" s="34"/>
      <c r="J497" s="34"/>
      <c r="K497" s="34"/>
      <c r="L497" s="34"/>
      <c r="M497" s="34"/>
      <c r="N497" s="34"/>
      <c r="O497" s="34"/>
    </row>
    <row r="498">
      <c r="A498" s="33"/>
      <c r="B498" s="34"/>
      <c r="C498" s="34"/>
      <c r="D498" s="35"/>
      <c r="E498" s="35"/>
      <c r="F498" s="35"/>
      <c r="G498" s="35"/>
      <c r="H498" s="34"/>
      <c r="I498" s="34"/>
      <c r="J498" s="34"/>
      <c r="K498" s="34"/>
      <c r="L498" s="34"/>
      <c r="M498" s="34"/>
      <c r="N498" s="34"/>
      <c r="O498" s="34"/>
    </row>
    <row r="499">
      <c r="A499" s="33"/>
      <c r="B499" s="34"/>
      <c r="C499" s="34"/>
      <c r="D499" s="35"/>
      <c r="E499" s="35"/>
      <c r="F499" s="35"/>
      <c r="G499" s="35"/>
      <c r="H499" s="34"/>
      <c r="I499" s="34"/>
      <c r="J499" s="34"/>
      <c r="K499" s="34"/>
      <c r="L499" s="34"/>
      <c r="M499" s="34"/>
      <c r="N499" s="34"/>
      <c r="O499" s="34"/>
    </row>
    <row r="500">
      <c r="A500" s="33"/>
      <c r="B500" s="34"/>
      <c r="C500" s="34"/>
      <c r="D500" s="35"/>
      <c r="E500" s="35"/>
      <c r="F500" s="35"/>
      <c r="G500" s="35"/>
      <c r="H500" s="34"/>
      <c r="I500" s="34"/>
      <c r="J500" s="34"/>
      <c r="K500" s="34"/>
      <c r="L500" s="34"/>
      <c r="M500" s="34"/>
      <c r="N500" s="34"/>
      <c r="O500" s="34"/>
    </row>
    <row r="501">
      <c r="A501" s="33"/>
      <c r="B501" s="34"/>
      <c r="C501" s="34"/>
      <c r="D501" s="35"/>
      <c r="E501" s="35"/>
      <c r="F501" s="35"/>
      <c r="G501" s="35"/>
      <c r="H501" s="34"/>
      <c r="I501" s="34"/>
      <c r="J501" s="34"/>
      <c r="K501" s="34"/>
      <c r="L501" s="34"/>
      <c r="M501" s="34"/>
      <c r="N501" s="34"/>
      <c r="O501" s="34"/>
    </row>
    <row r="502">
      <c r="A502" s="33"/>
      <c r="B502" s="34"/>
      <c r="C502" s="34"/>
      <c r="D502" s="35"/>
      <c r="E502" s="35"/>
      <c r="F502" s="35"/>
      <c r="G502" s="35"/>
      <c r="H502" s="34"/>
      <c r="I502" s="34"/>
      <c r="J502" s="34"/>
      <c r="K502" s="34"/>
      <c r="L502" s="34"/>
      <c r="M502" s="34"/>
      <c r="N502" s="34"/>
      <c r="O502" s="34"/>
    </row>
    <row r="503">
      <c r="A503" s="33"/>
      <c r="B503" s="34"/>
      <c r="C503" s="34"/>
      <c r="D503" s="35"/>
      <c r="E503" s="35"/>
      <c r="F503" s="35"/>
      <c r="G503" s="35"/>
      <c r="H503" s="34"/>
      <c r="I503" s="34"/>
      <c r="J503" s="34"/>
      <c r="K503" s="34"/>
      <c r="L503" s="34"/>
      <c r="M503" s="34"/>
      <c r="N503" s="34"/>
      <c r="O503" s="34"/>
    </row>
    <row r="504">
      <c r="A504" s="33"/>
      <c r="B504" s="34"/>
      <c r="C504" s="34"/>
      <c r="D504" s="35"/>
      <c r="E504" s="35"/>
      <c r="F504" s="35"/>
      <c r="G504" s="35"/>
      <c r="H504" s="34"/>
      <c r="I504" s="34"/>
      <c r="J504" s="34"/>
      <c r="K504" s="34"/>
      <c r="L504" s="34"/>
      <c r="M504" s="34"/>
      <c r="N504" s="34"/>
      <c r="O504" s="34"/>
    </row>
    <row r="505">
      <c r="A505" s="33"/>
      <c r="B505" s="34"/>
      <c r="C505" s="34"/>
      <c r="D505" s="35"/>
      <c r="E505" s="35"/>
      <c r="F505" s="35"/>
      <c r="G505" s="35"/>
      <c r="H505" s="34"/>
      <c r="I505" s="34"/>
      <c r="J505" s="34"/>
      <c r="K505" s="34"/>
      <c r="L505" s="34"/>
      <c r="M505" s="34"/>
      <c r="N505" s="34"/>
      <c r="O505" s="34"/>
    </row>
    <row r="506">
      <c r="A506" s="33"/>
      <c r="B506" s="34"/>
      <c r="C506" s="34"/>
      <c r="D506" s="35"/>
      <c r="E506" s="35"/>
      <c r="F506" s="35"/>
      <c r="G506" s="35"/>
      <c r="H506" s="34"/>
      <c r="I506" s="34"/>
      <c r="J506" s="34"/>
      <c r="K506" s="34"/>
      <c r="L506" s="34"/>
      <c r="M506" s="34"/>
      <c r="N506" s="34"/>
      <c r="O506" s="34"/>
    </row>
    <row r="507">
      <c r="A507" s="33"/>
      <c r="B507" s="34"/>
      <c r="C507" s="34"/>
      <c r="D507" s="35"/>
      <c r="E507" s="35"/>
      <c r="F507" s="35"/>
      <c r="G507" s="35"/>
      <c r="H507" s="34"/>
      <c r="I507" s="34"/>
      <c r="J507" s="34"/>
      <c r="K507" s="34"/>
      <c r="L507" s="34"/>
      <c r="M507" s="34"/>
      <c r="N507" s="34"/>
      <c r="O507" s="34"/>
    </row>
    <row r="508">
      <c r="A508" s="33"/>
      <c r="B508" s="34"/>
      <c r="C508" s="34"/>
      <c r="D508" s="35"/>
      <c r="E508" s="35"/>
      <c r="F508" s="35"/>
      <c r="G508" s="35"/>
      <c r="H508" s="34"/>
      <c r="I508" s="34"/>
      <c r="J508" s="34"/>
      <c r="K508" s="34"/>
      <c r="L508" s="34"/>
      <c r="M508" s="34"/>
      <c r="N508" s="34"/>
      <c r="O508" s="34"/>
    </row>
    <row r="509">
      <c r="A509" s="33"/>
      <c r="B509" s="34"/>
      <c r="C509" s="34"/>
      <c r="D509" s="35"/>
      <c r="E509" s="35"/>
      <c r="F509" s="35"/>
      <c r="G509" s="35"/>
      <c r="H509" s="34"/>
      <c r="I509" s="34"/>
      <c r="J509" s="34"/>
      <c r="K509" s="34"/>
      <c r="L509" s="34"/>
      <c r="M509" s="34"/>
      <c r="N509" s="34"/>
      <c r="O509" s="34"/>
    </row>
    <row r="510">
      <c r="A510" s="33"/>
      <c r="B510" s="34"/>
      <c r="C510" s="34"/>
      <c r="D510" s="35"/>
      <c r="E510" s="35"/>
      <c r="F510" s="35"/>
      <c r="G510" s="35"/>
      <c r="H510" s="34"/>
      <c r="I510" s="34"/>
      <c r="J510" s="34"/>
      <c r="K510" s="34"/>
      <c r="L510" s="34"/>
      <c r="M510" s="34"/>
      <c r="N510" s="34"/>
      <c r="O510" s="34"/>
    </row>
    <row r="511">
      <c r="A511" s="33"/>
      <c r="B511" s="34"/>
      <c r="C511" s="34"/>
      <c r="D511" s="35"/>
      <c r="E511" s="35"/>
      <c r="F511" s="35"/>
      <c r="G511" s="35"/>
      <c r="H511" s="34"/>
      <c r="I511" s="34"/>
      <c r="J511" s="34"/>
      <c r="K511" s="34"/>
      <c r="L511" s="34"/>
      <c r="M511" s="34"/>
      <c r="N511" s="34"/>
      <c r="O511" s="34"/>
    </row>
    <row r="512">
      <c r="A512" s="33"/>
      <c r="B512" s="34"/>
      <c r="C512" s="34"/>
      <c r="D512" s="35"/>
      <c r="E512" s="35"/>
      <c r="F512" s="35"/>
      <c r="G512" s="35"/>
      <c r="H512" s="34"/>
      <c r="I512" s="34"/>
      <c r="J512" s="34"/>
      <c r="K512" s="34"/>
      <c r="L512" s="34"/>
      <c r="M512" s="34"/>
      <c r="N512" s="34"/>
      <c r="O512" s="34"/>
    </row>
    <row r="513">
      <c r="A513" s="33"/>
      <c r="B513" s="34"/>
      <c r="C513" s="34"/>
      <c r="D513" s="35"/>
      <c r="E513" s="35"/>
      <c r="F513" s="35"/>
      <c r="G513" s="35"/>
      <c r="H513" s="34"/>
      <c r="I513" s="34"/>
      <c r="J513" s="34"/>
      <c r="K513" s="34"/>
      <c r="L513" s="34"/>
      <c r="M513" s="34"/>
      <c r="N513" s="34"/>
      <c r="O513" s="34"/>
    </row>
    <row r="514">
      <c r="A514" s="33"/>
      <c r="B514" s="34"/>
      <c r="C514" s="34"/>
      <c r="D514" s="35"/>
      <c r="E514" s="35"/>
      <c r="F514" s="35"/>
      <c r="G514" s="35"/>
      <c r="H514" s="34"/>
      <c r="I514" s="34"/>
      <c r="J514" s="34"/>
      <c r="K514" s="34"/>
      <c r="L514" s="34"/>
      <c r="M514" s="34"/>
      <c r="N514" s="34"/>
      <c r="O514" s="34"/>
    </row>
    <row r="515">
      <c r="A515" s="33"/>
      <c r="B515" s="34"/>
      <c r="C515" s="34"/>
      <c r="D515" s="35"/>
      <c r="E515" s="35"/>
      <c r="F515" s="35"/>
      <c r="G515" s="35"/>
      <c r="H515" s="34"/>
      <c r="I515" s="34"/>
      <c r="J515" s="34"/>
      <c r="K515" s="34"/>
      <c r="L515" s="34"/>
      <c r="M515" s="34"/>
      <c r="N515" s="34"/>
      <c r="O515" s="34"/>
    </row>
    <row r="516">
      <c r="A516" s="33"/>
      <c r="B516" s="34"/>
      <c r="C516" s="34"/>
      <c r="D516" s="35"/>
      <c r="E516" s="35"/>
      <c r="F516" s="35"/>
      <c r="G516" s="35"/>
      <c r="H516" s="34"/>
      <c r="I516" s="34"/>
      <c r="J516" s="34"/>
      <c r="K516" s="34"/>
      <c r="L516" s="34"/>
      <c r="M516" s="34"/>
      <c r="N516" s="34"/>
      <c r="O516" s="34"/>
    </row>
    <row r="517">
      <c r="A517" s="33"/>
      <c r="B517" s="34"/>
      <c r="C517" s="34"/>
      <c r="D517" s="35"/>
      <c r="E517" s="35"/>
      <c r="F517" s="35"/>
      <c r="G517" s="35"/>
      <c r="H517" s="34"/>
      <c r="I517" s="34"/>
      <c r="J517" s="34"/>
      <c r="K517" s="34"/>
      <c r="L517" s="34"/>
      <c r="M517" s="34"/>
      <c r="N517" s="34"/>
      <c r="O517" s="34"/>
    </row>
    <row r="518">
      <c r="A518" s="33"/>
      <c r="B518" s="34"/>
      <c r="C518" s="34"/>
      <c r="D518" s="35"/>
      <c r="E518" s="35"/>
      <c r="F518" s="35"/>
      <c r="G518" s="35"/>
      <c r="H518" s="34"/>
      <c r="I518" s="34"/>
      <c r="J518" s="34"/>
      <c r="K518" s="34"/>
      <c r="L518" s="34"/>
      <c r="M518" s="34"/>
      <c r="N518" s="34"/>
      <c r="O518" s="34"/>
    </row>
    <row r="519">
      <c r="A519" s="33"/>
      <c r="B519" s="34"/>
      <c r="C519" s="34"/>
      <c r="D519" s="35"/>
      <c r="E519" s="35"/>
      <c r="F519" s="35"/>
      <c r="G519" s="35"/>
      <c r="H519" s="34"/>
      <c r="I519" s="34"/>
      <c r="J519" s="34"/>
      <c r="K519" s="34"/>
      <c r="L519" s="34"/>
      <c r="M519" s="34"/>
      <c r="N519" s="34"/>
      <c r="O519" s="34"/>
    </row>
    <row r="520">
      <c r="A520" s="33"/>
      <c r="B520" s="34"/>
      <c r="C520" s="34"/>
      <c r="D520" s="35"/>
      <c r="E520" s="35"/>
      <c r="F520" s="35"/>
      <c r="G520" s="35"/>
      <c r="H520" s="34"/>
      <c r="I520" s="34"/>
      <c r="J520" s="34"/>
      <c r="K520" s="34"/>
      <c r="L520" s="34"/>
      <c r="M520" s="34"/>
      <c r="N520" s="34"/>
      <c r="O520" s="34"/>
    </row>
    <row r="521">
      <c r="A521" s="33"/>
      <c r="B521" s="34"/>
      <c r="C521" s="34"/>
      <c r="D521" s="35"/>
      <c r="E521" s="35"/>
      <c r="F521" s="35"/>
      <c r="G521" s="35"/>
      <c r="H521" s="34"/>
      <c r="I521" s="34"/>
      <c r="J521" s="34"/>
      <c r="K521" s="34"/>
      <c r="L521" s="34"/>
      <c r="M521" s="34"/>
      <c r="N521" s="34"/>
      <c r="O521" s="34"/>
    </row>
    <row r="522">
      <c r="A522" s="33"/>
      <c r="B522" s="34"/>
      <c r="C522" s="34"/>
      <c r="D522" s="35"/>
      <c r="E522" s="35"/>
      <c r="F522" s="35"/>
      <c r="G522" s="35"/>
      <c r="H522" s="34"/>
      <c r="I522" s="34"/>
      <c r="J522" s="34"/>
      <c r="K522" s="34"/>
      <c r="L522" s="34"/>
      <c r="M522" s="34"/>
      <c r="N522" s="34"/>
      <c r="O522" s="34"/>
    </row>
    <row r="523">
      <c r="A523" s="33"/>
      <c r="B523" s="34"/>
      <c r="C523" s="34"/>
      <c r="D523" s="35"/>
      <c r="E523" s="35"/>
      <c r="F523" s="35"/>
      <c r="G523" s="35"/>
      <c r="H523" s="34"/>
      <c r="I523" s="34"/>
      <c r="J523" s="34"/>
      <c r="K523" s="34"/>
      <c r="L523" s="34"/>
      <c r="M523" s="34"/>
      <c r="N523" s="34"/>
      <c r="O523" s="34"/>
    </row>
    <row r="524">
      <c r="A524" s="33"/>
      <c r="B524" s="34"/>
      <c r="C524" s="34"/>
      <c r="D524" s="35"/>
      <c r="E524" s="35"/>
      <c r="F524" s="35"/>
      <c r="G524" s="35"/>
      <c r="H524" s="34"/>
      <c r="I524" s="34"/>
      <c r="J524" s="34"/>
      <c r="K524" s="34"/>
      <c r="L524" s="34"/>
      <c r="M524" s="34"/>
      <c r="N524" s="34"/>
      <c r="O524" s="34"/>
    </row>
    <row r="525">
      <c r="A525" s="33"/>
      <c r="B525" s="34"/>
      <c r="C525" s="34"/>
      <c r="D525" s="35"/>
      <c r="E525" s="35"/>
      <c r="F525" s="35"/>
      <c r="G525" s="35"/>
      <c r="H525" s="34"/>
      <c r="I525" s="34"/>
      <c r="J525" s="34"/>
      <c r="K525" s="34"/>
      <c r="L525" s="34"/>
      <c r="M525" s="34"/>
      <c r="N525" s="34"/>
      <c r="O525" s="34"/>
    </row>
    <row r="526">
      <c r="A526" s="33"/>
      <c r="B526" s="34"/>
      <c r="C526" s="34"/>
      <c r="D526" s="35"/>
      <c r="E526" s="35"/>
      <c r="F526" s="35"/>
      <c r="G526" s="35"/>
      <c r="H526" s="34"/>
      <c r="I526" s="34"/>
      <c r="J526" s="34"/>
      <c r="K526" s="34"/>
      <c r="L526" s="34"/>
      <c r="M526" s="34"/>
      <c r="N526" s="34"/>
      <c r="O526" s="34"/>
    </row>
    <row r="527">
      <c r="A527" s="33"/>
      <c r="B527" s="34"/>
      <c r="C527" s="34"/>
      <c r="D527" s="35"/>
      <c r="E527" s="35"/>
      <c r="F527" s="35"/>
      <c r="G527" s="35"/>
      <c r="H527" s="34"/>
      <c r="I527" s="34"/>
      <c r="J527" s="34"/>
      <c r="K527" s="34"/>
      <c r="L527" s="34"/>
      <c r="M527" s="34"/>
      <c r="N527" s="34"/>
      <c r="O527" s="34"/>
    </row>
    <row r="528">
      <c r="A528" s="33"/>
      <c r="B528" s="34"/>
      <c r="C528" s="34"/>
      <c r="D528" s="35"/>
      <c r="E528" s="35"/>
      <c r="F528" s="35"/>
      <c r="G528" s="35"/>
      <c r="H528" s="34"/>
      <c r="I528" s="34"/>
      <c r="J528" s="34"/>
      <c r="K528" s="34"/>
      <c r="L528" s="34"/>
      <c r="M528" s="34"/>
      <c r="N528" s="34"/>
      <c r="O528" s="34"/>
    </row>
    <row r="529">
      <c r="A529" s="33"/>
      <c r="B529" s="34"/>
      <c r="C529" s="34"/>
      <c r="D529" s="35"/>
      <c r="E529" s="35"/>
      <c r="F529" s="35"/>
      <c r="G529" s="35"/>
      <c r="H529" s="34"/>
      <c r="I529" s="34"/>
      <c r="J529" s="34"/>
      <c r="K529" s="34"/>
      <c r="L529" s="34"/>
      <c r="M529" s="34"/>
      <c r="N529" s="34"/>
      <c r="O529" s="34"/>
    </row>
    <row r="530">
      <c r="A530" s="33"/>
      <c r="B530" s="34"/>
      <c r="C530" s="34"/>
      <c r="D530" s="35"/>
      <c r="E530" s="35"/>
      <c r="F530" s="35"/>
      <c r="G530" s="35"/>
      <c r="H530" s="34"/>
      <c r="I530" s="34"/>
      <c r="J530" s="34"/>
      <c r="K530" s="34"/>
      <c r="L530" s="34"/>
      <c r="M530" s="34"/>
      <c r="N530" s="34"/>
      <c r="O530" s="34"/>
    </row>
    <row r="531">
      <c r="A531" s="33"/>
      <c r="B531" s="34"/>
      <c r="C531" s="34"/>
      <c r="D531" s="35"/>
      <c r="E531" s="35"/>
      <c r="F531" s="35"/>
      <c r="G531" s="35"/>
      <c r="H531" s="34"/>
      <c r="I531" s="34"/>
      <c r="J531" s="34"/>
      <c r="K531" s="34"/>
      <c r="L531" s="34"/>
      <c r="M531" s="34"/>
      <c r="N531" s="34"/>
      <c r="O531" s="34"/>
    </row>
    <row r="532">
      <c r="A532" s="33"/>
      <c r="B532" s="34"/>
      <c r="C532" s="34"/>
      <c r="D532" s="35"/>
      <c r="E532" s="35"/>
      <c r="F532" s="35"/>
      <c r="G532" s="35"/>
      <c r="H532" s="34"/>
      <c r="I532" s="34"/>
      <c r="J532" s="34"/>
      <c r="K532" s="34"/>
      <c r="L532" s="34"/>
      <c r="M532" s="34"/>
      <c r="N532" s="34"/>
      <c r="O532" s="34"/>
    </row>
    <row r="533">
      <c r="A533" s="33"/>
      <c r="B533" s="34"/>
      <c r="C533" s="34"/>
      <c r="D533" s="35"/>
      <c r="E533" s="35"/>
      <c r="F533" s="35"/>
      <c r="G533" s="35"/>
      <c r="H533" s="34"/>
      <c r="I533" s="34"/>
      <c r="J533" s="34"/>
      <c r="K533" s="34"/>
      <c r="L533" s="34"/>
      <c r="M533" s="34"/>
      <c r="N533" s="34"/>
      <c r="O533" s="34"/>
    </row>
    <row r="534">
      <c r="A534" s="33"/>
      <c r="B534" s="34"/>
      <c r="C534" s="34"/>
      <c r="D534" s="35"/>
      <c r="E534" s="35"/>
      <c r="F534" s="35"/>
      <c r="G534" s="35"/>
      <c r="H534" s="34"/>
      <c r="I534" s="34"/>
      <c r="J534" s="34"/>
      <c r="K534" s="34"/>
      <c r="L534" s="34"/>
      <c r="M534" s="34"/>
      <c r="N534" s="34"/>
      <c r="O534" s="34"/>
    </row>
    <row r="535">
      <c r="A535" s="33"/>
      <c r="B535" s="34"/>
      <c r="C535" s="34"/>
      <c r="D535" s="35"/>
      <c r="E535" s="35"/>
      <c r="F535" s="35"/>
      <c r="G535" s="35"/>
      <c r="H535" s="34"/>
      <c r="I535" s="34"/>
      <c r="J535" s="34"/>
      <c r="K535" s="34"/>
      <c r="L535" s="34"/>
      <c r="M535" s="34"/>
      <c r="N535" s="34"/>
      <c r="O535" s="34"/>
    </row>
    <row r="536">
      <c r="A536" s="33"/>
      <c r="B536" s="34"/>
      <c r="C536" s="34"/>
      <c r="D536" s="35"/>
      <c r="E536" s="35"/>
      <c r="F536" s="35"/>
      <c r="G536" s="35"/>
      <c r="H536" s="34"/>
      <c r="I536" s="34"/>
      <c r="J536" s="34"/>
      <c r="K536" s="34"/>
      <c r="L536" s="34"/>
      <c r="M536" s="34"/>
      <c r="N536" s="34"/>
      <c r="O536" s="34"/>
    </row>
    <row r="537">
      <c r="A537" s="33"/>
      <c r="B537" s="34"/>
      <c r="C537" s="34"/>
      <c r="D537" s="35"/>
      <c r="E537" s="35"/>
      <c r="F537" s="35"/>
      <c r="G537" s="35"/>
      <c r="H537" s="34"/>
      <c r="I537" s="34"/>
      <c r="J537" s="34"/>
      <c r="K537" s="34"/>
      <c r="L537" s="34"/>
      <c r="M537" s="34"/>
      <c r="N537" s="34"/>
      <c r="O537" s="34"/>
    </row>
    <row r="538">
      <c r="A538" s="33"/>
      <c r="B538" s="34"/>
      <c r="C538" s="34"/>
      <c r="D538" s="35"/>
      <c r="E538" s="35"/>
      <c r="F538" s="35"/>
      <c r="G538" s="35"/>
      <c r="H538" s="34"/>
      <c r="I538" s="34"/>
      <c r="J538" s="34"/>
      <c r="K538" s="34"/>
      <c r="L538" s="34"/>
      <c r="M538" s="34"/>
      <c r="N538" s="34"/>
      <c r="O538" s="34"/>
    </row>
    <row r="539">
      <c r="A539" s="33"/>
      <c r="B539" s="34"/>
      <c r="C539" s="34"/>
      <c r="D539" s="35"/>
      <c r="E539" s="35"/>
      <c r="F539" s="35"/>
      <c r="G539" s="35"/>
      <c r="H539" s="34"/>
      <c r="I539" s="34"/>
      <c r="J539" s="34"/>
      <c r="K539" s="34"/>
      <c r="L539" s="34"/>
      <c r="M539" s="34"/>
      <c r="N539" s="34"/>
      <c r="O539" s="34"/>
    </row>
    <row r="540">
      <c r="A540" s="33"/>
      <c r="B540" s="34"/>
      <c r="C540" s="34"/>
      <c r="D540" s="35"/>
      <c r="E540" s="35"/>
      <c r="F540" s="35"/>
      <c r="G540" s="35"/>
      <c r="H540" s="34"/>
      <c r="I540" s="34"/>
      <c r="J540" s="34"/>
      <c r="K540" s="34"/>
      <c r="L540" s="34"/>
      <c r="M540" s="34"/>
      <c r="N540" s="34"/>
      <c r="O540" s="34"/>
    </row>
    <row r="541">
      <c r="A541" s="33"/>
      <c r="B541" s="34"/>
      <c r="C541" s="34"/>
      <c r="D541" s="35"/>
      <c r="E541" s="35"/>
      <c r="F541" s="35"/>
      <c r="G541" s="35"/>
      <c r="H541" s="34"/>
      <c r="I541" s="34"/>
      <c r="J541" s="34"/>
      <c r="K541" s="34"/>
      <c r="L541" s="34"/>
      <c r="M541" s="34"/>
      <c r="N541" s="34"/>
      <c r="O541" s="34"/>
    </row>
    <row r="542">
      <c r="A542" s="33"/>
      <c r="B542" s="34"/>
      <c r="C542" s="34"/>
      <c r="D542" s="35"/>
      <c r="E542" s="35"/>
      <c r="F542" s="35"/>
      <c r="G542" s="35"/>
      <c r="H542" s="34"/>
      <c r="I542" s="34"/>
      <c r="J542" s="34"/>
      <c r="K542" s="34"/>
      <c r="L542" s="34"/>
      <c r="M542" s="34"/>
      <c r="N542" s="34"/>
      <c r="O542" s="34"/>
    </row>
    <row r="543">
      <c r="A543" s="33"/>
      <c r="B543" s="34"/>
      <c r="C543" s="34"/>
      <c r="D543" s="35"/>
      <c r="E543" s="35"/>
      <c r="F543" s="35"/>
      <c r="G543" s="35"/>
      <c r="H543" s="34"/>
      <c r="I543" s="34"/>
      <c r="J543" s="34"/>
      <c r="K543" s="34"/>
      <c r="L543" s="34"/>
      <c r="M543" s="34"/>
      <c r="N543" s="34"/>
      <c r="O543" s="34"/>
    </row>
    <row r="544">
      <c r="A544" s="33"/>
      <c r="B544" s="34"/>
      <c r="C544" s="34"/>
      <c r="D544" s="35"/>
      <c r="E544" s="35"/>
      <c r="F544" s="35"/>
      <c r="G544" s="35"/>
      <c r="H544" s="34"/>
      <c r="I544" s="34"/>
      <c r="J544" s="34"/>
      <c r="K544" s="34"/>
      <c r="L544" s="34"/>
      <c r="M544" s="34"/>
      <c r="N544" s="34"/>
      <c r="O544" s="34"/>
    </row>
    <row r="545">
      <c r="A545" s="33"/>
      <c r="B545" s="34"/>
      <c r="C545" s="34"/>
      <c r="D545" s="35"/>
      <c r="E545" s="35"/>
      <c r="F545" s="35"/>
      <c r="G545" s="35"/>
      <c r="H545" s="34"/>
      <c r="I545" s="34"/>
      <c r="J545" s="34"/>
      <c r="K545" s="34"/>
      <c r="L545" s="34"/>
      <c r="M545" s="34"/>
      <c r="N545" s="34"/>
      <c r="O545" s="34"/>
    </row>
    <row r="546">
      <c r="A546" s="33"/>
      <c r="B546" s="34"/>
      <c r="C546" s="34"/>
      <c r="D546" s="35"/>
      <c r="E546" s="35"/>
      <c r="F546" s="35"/>
      <c r="G546" s="35"/>
      <c r="H546" s="34"/>
      <c r="I546" s="34"/>
      <c r="J546" s="34"/>
      <c r="K546" s="34"/>
      <c r="L546" s="34"/>
      <c r="M546" s="34"/>
      <c r="N546" s="34"/>
      <c r="O546" s="34"/>
    </row>
    <row r="547">
      <c r="A547" s="33"/>
      <c r="B547" s="34"/>
      <c r="C547" s="34"/>
      <c r="D547" s="35"/>
      <c r="E547" s="35"/>
      <c r="F547" s="35"/>
      <c r="G547" s="35"/>
      <c r="H547" s="34"/>
      <c r="I547" s="34"/>
      <c r="J547" s="34"/>
      <c r="K547" s="34"/>
      <c r="L547" s="34"/>
      <c r="M547" s="34"/>
      <c r="N547" s="34"/>
      <c r="O547" s="34"/>
    </row>
    <row r="548">
      <c r="A548" s="33"/>
      <c r="B548" s="34"/>
      <c r="C548" s="34"/>
      <c r="D548" s="35"/>
      <c r="E548" s="35"/>
      <c r="F548" s="35"/>
      <c r="G548" s="35"/>
      <c r="H548" s="34"/>
      <c r="I548" s="34"/>
      <c r="J548" s="34"/>
      <c r="K548" s="34"/>
      <c r="L548" s="34"/>
      <c r="M548" s="34"/>
      <c r="N548" s="34"/>
      <c r="O548" s="34"/>
    </row>
    <row r="549">
      <c r="A549" s="33"/>
      <c r="B549" s="34"/>
      <c r="C549" s="34"/>
      <c r="D549" s="35"/>
      <c r="E549" s="35"/>
      <c r="F549" s="35"/>
      <c r="G549" s="35"/>
      <c r="H549" s="34"/>
      <c r="I549" s="34"/>
      <c r="J549" s="34"/>
      <c r="K549" s="34"/>
      <c r="L549" s="34"/>
      <c r="M549" s="34"/>
      <c r="N549" s="34"/>
      <c r="O549" s="34"/>
    </row>
    <row r="550">
      <c r="A550" s="33"/>
      <c r="B550" s="34"/>
      <c r="C550" s="34"/>
      <c r="D550" s="35"/>
      <c r="E550" s="35"/>
      <c r="F550" s="35"/>
      <c r="G550" s="35"/>
      <c r="H550" s="34"/>
      <c r="I550" s="34"/>
      <c r="J550" s="34"/>
      <c r="K550" s="34"/>
      <c r="L550" s="34"/>
      <c r="M550" s="34"/>
      <c r="N550" s="34"/>
      <c r="O550" s="34"/>
    </row>
    <row r="551">
      <c r="A551" s="33"/>
      <c r="B551" s="34"/>
      <c r="C551" s="34"/>
      <c r="D551" s="35"/>
      <c r="E551" s="35"/>
      <c r="F551" s="35"/>
      <c r="G551" s="35"/>
      <c r="H551" s="34"/>
      <c r="I551" s="34"/>
      <c r="J551" s="34"/>
      <c r="K551" s="34"/>
      <c r="L551" s="34"/>
      <c r="M551" s="34"/>
      <c r="N551" s="34"/>
      <c r="O551" s="34"/>
    </row>
    <row r="552">
      <c r="A552" s="33"/>
      <c r="B552" s="34"/>
      <c r="C552" s="34"/>
      <c r="D552" s="35"/>
      <c r="E552" s="35"/>
      <c r="F552" s="35"/>
      <c r="G552" s="35"/>
      <c r="H552" s="34"/>
      <c r="I552" s="34"/>
      <c r="J552" s="34"/>
      <c r="K552" s="34"/>
      <c r="L552" s="34"/>
      <c r="M552" s="34"/>
      <c r="N552" s="34"/>
      <c r="O552" s="34"/>
    </row>
    <row r="553">
      <c r="A553" s="33"/>
      <c r="B553" s="34"/>
      <c r="C553" s="34"/>
      <c r="D553" s="35"/>
      <c r="E553" s="35"/>
      <c r="F553" s="35"/>
      <c r="G553" s="35"/>
      <c r="H553" s="34"/>
      <c r="I553" s="34"/>
      <c r="J553" s="34"/>
      <c r="K553" s="34"/>
      <c r="L553" s="34"/>
      <c r="M553" s="34"/>
      <c r="N553" s="34"/>
      <c r="O553" s="34"/>
    </row>
    <row r="554">
      <c r="A554" s="33"/>
      <c r="B554" s="34"/>
      <c r="C554" s="34"/>
      <c r="D554" s="35"/>
      <c r="E554" s="35"/>
      <c r="F554" s="35"/>
      <c r="G554" s="35"/>
      <c r="H554" s="34"/>
      <c r="I554" s="34"/>
      <c r="J554" s="34"/>
      <c r="K554" s="34"/>
      <c r="L554" s="34"/>
      <c r="M554" s="34"/>
      <c r="N554" s="34"/>
      <c r="O554" s="34"/>
    </row>
    <row r="555">
      <c r="A555" s="33"/>
      <c r="B555" s="34"/>
      <c r="C555" s="34"/>
      <c r="D555" s="35"/>
      <c r="E555" s="35"/>
      <c r="F555" s="35"/>
      <c r="G555" s="35"/>
      <c r="H555" s="34"/>
      <c r="I555" s="34"/>
      <c r="J555" s="34"/>
      <c r="K555" s="34"/>
      <c r="L555" s="34"/>
      <c r="M555" s="34"/>
      <c r="N555" s="34"/>
      <c r="O555" s="34"/>
    </row>
    <row r="556">
      <c r="A556" s="33"/>
      <c r="B556" s="34"/>
      <c r="C556" s="34"/>
      <c r="D556" s="35"/>
      <c r="E556" s="35"/>
      <c r="F556" s="35"/>
      <c r="G556" s="35"/>
      <c r="H556" s="34"/>
      <c r="I556" s="34"/>
      <c r="J556" s="34"/>
      <c r="K556" s="34"/>
      <c r="L556" s="34"/>
      <c r="M556" s="34"/>
      <c r="N556" s="34"/>
      <c r="O556" s="34"/>
    </row>
    <row r="557">
      <c r="A557" s="33"/>
      <c r="B557" s="34"/>
      <c r="C557" s="34"/>
      <c r="D557" s="35"/>
      <c r="E557" s="35"/>
      <c r="F557" s="35"/>
      <c r="G557" s="35"/>
      <c r="H557" s="34"/>
      <c r="I557" s="34"/>
      <c r="J557" s="34"/>
      <c r="K557" s="34"/>
      <c r="L557" s="34"/>
      <c r="M557" s="34"/>
      <c r="N557" s="34"/>
      <c r="O557" s="34"/>
    </row>
    <row r="558">
      <c r="A558" s="33"/>
      <c r="B558" s="34"/>
      <c r="C558" s="34"/>
      <c r="D558" s="35"/>
      <c r="E558" s="35"/>
      <c r="F558" s="35"/>
      <c r="G558" s="35"/>
      <c r="H558" s="34"/>
      <c r="I558" s="34"/>
      <c r="J558" s="34"/>
      <c r="K558" s="34"/>
      <c r="L558" s="34"/>
      <c r="M558" s="34"/>
      <c r="N558" s="34"/>
      <c r="O558" s="34"/>
    </row>
    <row r="559">
      <c r="A559" s="33"/>
      <c r="B559" s="34"/>
      <c r="C559" s="34"/>
      <c r="D559" s="35"/>
      <c r="E559" s="35"/>
      <c r="F559" s="35"/>
      <c r="G559" s="35"/>
      <c r="H559" s="34"/>
      <c r="I559" s="34"/>
      <c r="J559" s="34"/>
      <c r="K559" s="34"/>
      <c r="L559" s="34"/>
      <c r="M559" s="34"/>
      <c r="N559" s="34"/>
      <c r="O559" s="34"/>
    </row>
    <row r="560">
      <c r="A560" s="33"/>
      <c r="B560" s="34"/>
      <c r="C560" s="34"/>
      <c r="D560" s="35"/>
      <c r="E560" s="35"/>
      <c r="F560" s="35"/>
      <c r="G560" s="35"/>
      <c r="H560" s="34"/>
      <c r="I560" s="34"/>
      <c r="J560" s="34"/>
      <c r="K560" s="34"/>
      <c r="L560" s="34"/>
      <c r="M560" s="34"/>
      <c r="N560" s="34"/>
      <c r="O560" s="34"/>
    </row>
    <row r="561">
      <c r="A561" s="33"/>
      <c r="B561" s="34"/>
      <c r="C561" s="34"/>
      <c r="D561" s="35"/>
      <c r="E561" s="35"/>
      <c r="F561" s="35"/>
      <c r="G561" s="35"/>
      <c r="H561" s="34"/>
      <c r="I561" s="34"/>
      <c r="J561" s="34"/>
      <c r="K561" s="34"/>
      <c r="L561" s="34"/>
      <c r="M561" s="34"/>
      <c r="N561" s="34"/>
      <c r="O561" s="34"/>
    </row>
    <row r="562">
      <c r="A562" s="33"/>
      <c r="B562" s="34"/>
      <c r="C562" s="34"/>
      <c r="D562" s="35"/>
      <c r="E562" s="35"/>
      <c r="F562" s="35"/>
      <c r="G562" s="35"/>
      <c r="H562" s="34"/>
      <c r="I562" s="34"/>
      <c r="J562" s="34"/>
      <c r="K562" s="34"/>
      <c r="L562" s="34"/>
      <c r="M562" s="34"/>
      <c r="N562" s="34"/>
      <c r="O562" s="34"/>
    </row>
    <row r="563">
      <c r="A563" s="33"/>
      <c r="B563" s="34"/>
      <c r="C563" s="34"/>
      <c r="D563" s="35"/>
      <c r="E563" s="35"/>
      <c r="F563" s="35"/>
      <c r="G563" s="35"/>
      <c r="H563" s="34"/>
      <c r="I563" s="34"/>
      <c r="J563" s="34"/>
      <c r="K563" s="34"/>
      <c r="L563" s="34"/>
      <c r="M563" s="34"/>
      <c r="N563" s="34"/>
      <c r="O563" s="34"/>
    </row>
    <row r="564">
      <c r="A564" s="33"/>
      <c r="B564" s="34"/>
      <c r="C564" s="34"/>
      <c r="D564" s="35"/>
      <c r="E564" s="35"/>
      <c r="F564" s="35"/>
      <c r="G564" s="35"/>
      <c r="H564" s="34"/>
      <c r="I564" s="34"/>
      <c r="J564" s="34"/>
      <c r="K564" s="34"/>
      <c r="L564" s="34"/>
      <c r="M564" s="34"/>
      <c r="N564" s="34"/>
      <c r="O564" s="34"/>
    </row>
    <row r="565">
      <c r="A565" s="33"/>
      <c r="B565" s="34"/>
      <c r="C565" s="34"/>
      <c r="D565" s="35"/>
      <c r="E565" s="35"/>
      <c r="F565" s="35"/>
      <c r="G565" s="35"/>
      <c r="H565" s="34"/>
      <c r="I565" s="34"/>
      <c r="J565" s="34"/>
      <c r="K565" s="34"/>
      <c r="L565" s="34"/>
      <c r="M565" s="34"/>
      <c r="N565" s="34"/>
      <c r="O565" s="34"/>
    </row>
    <row r="566">
      <c r="A566" s="33"/>
      <c r="B566" s="34"/>
      <c r="C566" s="34"/>
      <c r="D566" s="35"/>
      <c r="E566" s="35"/>
      <c r="F566" s="35"/>
      <c r="G566" s="35"/>
      <c r="H566" s="34"/>
      <c r="I566" s="34"/>
      <c r="J566" s="34"/>
      <c r="K566" s="34"/>
      <c r="L566" s="34"/>
      <c r="M566" s="34"/>
      <c r="N566" s="34"/>
      <c r="O566" s="34"/>
    </row>
    <row r="567">
      <c r="A567" s="33"/>
      <c r="B567" s="34"/>
      <c r="C567" s="34"/>
      <c r="D567" s="35"/>
      <c r="E567" s="35"/>
      <c r="F567" s="35"/>
      <c r="G567" s="35"/>
      <c r="H567" s="34"/>
      <c r="I567" s="34"/>
      <c r="J567" s="34"/>
      <c r="K567" s="34"/>
      <c r="L567" s="34"/>
      <c r="M567" s="34"/>
      <c r="N567" s="34"/>
      <c r="O567" s="34"/>
    </row>
    <row r="568">
      <c r="A568" s="33"/>
      <c r="B568" s="34"/>
      <c r="C568" s="34"/>
      <c r="D568" s="35"/>
      <c r="E568" s="35"/>
      <c r="F568" s="35"/>
      <c r="G568" s="35"/>
      <c r="H568" s="34"/>
      <c r="I568" s="34"/>
      <c r="J568" s="34"/>
      <c r="K568" s="34"/>
      <c r="L568" s="34"/>
      <c r="M568" s="34"/>
      <c r="N568" s="34"/>
      <c r="O568" s="34"/>
    </row>
    <row r="569">
      <c r="A569" s="33"/>
      <c r="B569" s="34"/>
      <c r="C569" s="34"/>
      <c r="D569" s="35"/>
      <c r="E569" s="35"/>
      <c r="F569" s="35"/>
      <c r="G569" s="35"/>
      <c r="H569" s="34"/>
      <c r="I569" s="34"/>
      <c r="J569" s="34"/>
      <c r="K569" s="34"/>
      <c r="L569" s="34"/>
      <c r="M569" s="34"/>
      <c r="N569" s="34"/>
      <c r="O569" s="34"/>
    </row>
    <row r="570">
      <c r="A570" s="33"/>
      <c r="B570" s="34"/>
      <c r="C570" s="34"/>
      <c r="D570" s="35"/>
      <c r="E570" s="35"/>
      <c r="F570" s="35"/>
      <c r="G570" s="35"/>
      <c r="H570" s="34"/>
      <c r="I570" s="34"/>
      <c r="J570" s="34"/>
      <c r="K570" s="34"/>
      <c r="L570" s="34"/>
      <c r="M570" s="34"/>
      <c r="N570" s="34"/>
      <c r="O570" s="34"/>
    </row>
    <row r="571">
      <c r="A571" s="33"/>
      <c r="B571" s="34"/>
      <c r="C571" s="34"/>
      <c r="D571" s="35"/>
      <c r="E571" s="35"/>
      <c r="F571" s="35"/>
      <c r="G571" s="35"/>
      <c r="H571" s="34"/>
      <c r="I571" s="34"/>
      <c r="J571" s="34"/>
      <c r="K571" s="34"/>
      <c r="L571" s="34"/>
      <c r="M571" s="34"/>
      <c r="N571" s="34"/>
      <c r="O571" s="34"/>
    </row>
    <row r="572">
      <c r="A572" s="33"/>
      <c r="B572" s="34"/>
      <c r="C572" s="34"/>
      <c r="D572" s="35"/>
      <c r="E572" s="35"/>
      <c r="F572" s="35"/>
      <c r="G572" s="35"/>
      <c r="H572" s="34"/>
      <c r="I572" s="34"/>
      <c r="J572" s="34"/>
      <c r="K572" s="34"/>
      <c r="L572" s="34"/>
      <c r="M572" s="34"/>
      <c r="N572" s="34"/>
      <c r="O572" s="34"/>
    </row>
    <row r="573">
      <c r="A573" s="33"/>
      <c r="B573" s="34"/>
      <c r="C573" s="34"/>
      <c r="D573" s="35"/>
      <c r="E573" s="35"/>
      <c r="F573" s="35"/>
      <c r="G573" s="35"/>
      <c r="H573" s="34"/>
      <c r="I573" s="34"/>
      <c r="J573" s="34"/>
      <c r="K573" s="34"/>
      <c r="L573" s="34"/>
      <c r="M573" s="34"/>
      <c r="N573" s="34"/>
      <c r="O573" s="34"/>
    </row>
    <row r="574">
      <c r="A574" s="33"/>
      <c r="B574" s="34"/>
      <c r="C574" s="34"/>
      <c r="D574" s="35"/>
      <c r="E574" s="35"/>
      <c r="F574" s="35"/>
      <c r="G574" s="35"/>
      <c r="H574" s="34"/>
      <c r="I574" s="34"/>
      <c r="J574" s="34"/>
      <c r="K574" s="34"/>
      <c r="L574" s="34"/>
      <c r="M574" s="34"/>
      <c r="N574" s="34"/>
      <c r="O574" s="34"/>
    </row>
    <row r="575">
      <c r="A575" s="33"/>
      <c r="B575" s="34"/>
      <c r="C575" s="34"/>
      <c r="D575" s="35"/>
      <c r="E575" s="35"/>
      <c r="F575" s="35"/>
      <c r="G575" s="35"/>
      <c r="H575" s="34"/>
      <c r="I575" s="34"/>
      <c r="J575" s="34"/>
      <c r="K575" s="34"/>
      <c r="L575" s="34"/>
      <c r="M575" s="34"/>
      <c r="N575" s="34"/>
      <c r="O575" s="34"/>
    </row>
    <row r="576">
      <c r="A576" s="33"/>
      <c r="B576" s="34"/>
      <c r="C576" s="34"/>
      <c r="D576" s="35"/>
      <c r="E576" s="35"/>
      <c r="F576" s="35"/>
      <c r="G576" s="35"/>
      <c r="H576" s="34"/>
      <c r="I576" s="34"/>
      <c r="J576" s="34"/>
      <c r="K576" s="34"/>
      <c r="L576" s="34"/>
      <c r="M576" s="34"/>
      <c r="N576" s="34"/>
      <c r="O576" s="34"/>
    </row>
    <row r="577">
      <c r="A577" s="33"/>
      <c r="B577" s="34"/>
      <c r="C577" s="34"/>
      <c r="D577" s="35"/>
      <c r="E577" s="35"/>
      <c r="F577" s="35"/>
      <c r="G577" s="35"/>
      <c r="H577" s="34"/>
      <c r="I577" s="34"/>
      <c r="J577" s="34"/>
      <c r="K577" s="34"/>
      <c r="L577" s="34"/>
      <c r="M577" s="34"/>
      <c r="N577" s="34"/>
      <c r="O577" s="34"/>
    </row>
    <row r="578">
      <c r="A578" s="33"/>
      <c r="B578" s="34"/>
      <c r="C578" s="34"/>
      <c r="D578" s="35"/>
      <c r="E578" s="35"/>
      <c r="F578" s="35"/>
      <c r="G578" s="35"/>
      <c r="H578" s="34"/>
      <c r="I578" s="34"/>
      <c r="J578" s="34"/>
      <c r="K578" s="34"/>
      <c r="L578" s="34"/>
      <c r="M578" s="34"/>
      <c r="N578" s="34"/>
      <c r="O578" s="34"/>
    </row>
    <row r="579">
      <c r="A579" s="33"/>
      <c r="B579" s="34"/>
      <c r="C579" s="34"/>
      <c r="D579" s="35"/>
      <c r="E579" s="35"/>
      <c r="F579" s="35"/>
      <c r="G579" s="35"/>
      <c r="H579" s="34"/>
      <c r="I579" s="34"/>
      <c r="J579" s="34"/>
      <c r="K579" s="34"/>
      <c r="L579" s="34"/>
      <c r="M579" s="34"/>
      <c r="N579" s="34"/>
      <c r="O579" s="34"/>
    </row>
    <row r="580">
      <c r="A580" s="33"/>
      <c r="B580" s="34"/>
      <c r="C580" s="34"/>
      <c r="D580" s="35"/>
      <c r="E580" s="35"/>
      <c r="F580" s="35"/>
      <c r="G580" s="35"/>
      <c r="H580" s="34"/>
      <c r="I580" s="34"/>
      <c r="J580" s="34"/>
      <c r="K580" s="34"/>
      <c r="L580" s="34"/>
      <c r="M580" s="34"/>
      <c r="N580" s="34"/>
      <c r="O580" s="34"/>
    </row>
    <row r="581">
      <c r="A581" s="33"/>
      <c r="B581" s="34"/>
      <c r="C581" s="34"/>
      <c r="D581" s="35"/>
      <c r="E581" s="35"/>
      <c r="F581" s="35"/>
      <c r="G581" s="35"/>
      <c r="H581" s="34"/>
      <c r="I581" s="34"/>
      <c r="J581" s="34"/>
      <c r="K581" s="34"/>
      <c r="L581" s="34"/>
      <c r="M581" s="34"/>
      <c r="N581" s="34"/>
      <c r="O581" s="34"/>
    </row>
    <row r="582">
      <c r="A582" s="33"/>
      <c r="B582" s="34"/>
      <c r="C582" s="34"/>
      <c r="D582" s="35"/>
      <c r="E582" s="35"/>
      <c r="F582" s="35"/>
      <c r="G582" s="35"/>
      <c r="H582" s="34"/>
      <c r="I582" s="34"/>
      <c r="J582" s="34"/>
      <c r="K582" s="34"/>
      <c r="L582" s="34"/>
      <c r="M582" s="34"/>
      <c r="N582" s="34"/>
      <c r="O582" s="34"/>
    </row>
    <row r="583">
      <c r="A583" s="33"/>
      <c r="B583" s="34"/>
      <c r="C583" s="34"/>
      <c r="D583" s="35"/>
      <c r="E583" s="35"/>
      <c r="F583" s="35"/>
      <c r="G583" s="35"/>
      <c r="H583" s="34"/>
      <c r="I583" s="34"/>
      <c r="J583" s="34"/>
      <c r="K583" s="34"/>
      <c r="L583" s="34"/>
      <c r="M583" s="34"/>
      <c r="N583" s="34"/>
      <c r="O583" s="34"/>
    </row>
    <row r="584">
      <c r="A584" s="33"/>
      <c r="B584" s="34"/>
      <c r="C584" s="34"/>
      <c r="D584" s="35"/>
      <c r="E584" s="35"/>
      <c r="F584" s="35"/>
      <c r="G584" s="35"/>
      <c r="H584" s="34"/>
      <c r="I584" s="34"/>
      <c r="J584" s="34"/>
      <c r="K584" s="34"/>
      <c r="L584" s="34"/>
      <c r="M584" s="34"/>
      <c r="N584" s="34"/>
      <c r="O584" s="34"/>
    </row>
    <row r="585">
      <c r="A585" s="33"/>
      <c r="B585" s="34"/>
      <c r="C585" s="34"/>
      <c r="D585" s="35"/>
      <c r="E585" s="35"/>
      <c r="F585" s="35"/>
      <c r="G585" s="35"/>
      <c r="H585" s="34"/>
      <c r="I585" s="34"/>
      <c r="J585" s="34"/>
      <c r="K585" s="34"/>
      <c r="L585" s="34"/>
      <c r="M585" s="34"/>
      <c r="N585" s="34"/>
      <c r="O585" s="34"/>
    </row>
    <row r="586">
      <c r="A586" s="33"/>
      <c r="B586" s="34"/>
      <c r="C586" s="34"/>
      <c r="D586" s="35"/>
      <c r="E586" s="35"/>
      <c r="F586" s="35"/>
      <c r="G586" s="35"/>
      <c r="H586" s="34"/>
      <c r="I586" s="34"/>
      <c r="J586" s="34"/>
      <c r="K586" s="34"/>
      <c r="L586" s="34"/>
      <c r="M586" s="34"/>
      <c r="N586" s="34"/>
      <c r="O586" s="34"/>
    </row>
    <row r="587">
      <c r="A587" s="33"/>
      <c r="B587" s="34"/>
      <c r="C587" s="34"/>
      <c r="D587" s="35"/>
      <c r="E587" s="35"/>
      <c r="F587" s="35"/>
      <c r="G587" s="35"/>
      <c r="H587" s="34"/>
      <c r="I587" s="34"/>
      <c r="J587" s="34"/>
      <c r="K587" s="34"/>
      <c r="L587" s="34"/>
      <c r="M587" s="34"/>
      <c r="N587" s="34"/>
      <c r="O587" s="34"/>
    </row>
    <row r="588">
      <c r="A588" s="33"/>
      <c r="B588" s="34"/>
      <c r="C588" s="34"/>
      <c r="D588" s="35"/>
      <c r="E588" s="35"/>
      <c r="F588" s="35"/>
      <c r="G588" s="35"/>
      <c r="H588" s="34"/>
      <c r="I588" s="34"/>
      <c r="J588" s="34"/>
      <c r="K588" s="34"/>
      <c r="L588" s="34"/>
      <c r="M588" s="34"/>
      <c r="N588" s="34"/>
      <c r="O588" s="34"/>
    </row>
    <row r="589">
      <c r="A589" s="33"/>
      <c r="B589" s="34"/>
      <c r="C589" s="34"/>
      <c r="D589" s="35"/>
      <c r="E589" s="35"/>
      <c r="F589" s="35"/>
      <c r="G589" s="35"/>
      <c r="H589" s="34"/>
      <c r="I589" s="34"/>
      <c r="J589" s="34"/>
      <c r="K589" s="34"/>
      <c r="L589" s="34"/>
      <c r="M589" s="34"/>
      <c r="N589" s="34"/>
      <c r="O589" s="34"/>
    </row>
    <row r="590">
      <c r="A590" s="33"/>
      <c r="B590" s="34"/>
      <c r="C590" s="34"/>
      <c r="D590" s="35"/>
      <c r="E590" s="35"/>
      <c r="F590" s="35"/>
      <c r="G590" s="35"/>
      <c r="H590" s="34"/>
      <c r="I590" s="34"/>
      <c r="J590" s="34"/>
      <c r="K590" s="34"/>
      <c r="L590" s="34"/>
      <c r="M590" s="34"/>
      <c r="N590" s="34"/>
      <c r="O590" s="34"/>
    </row>
    <row r="591">
      <c r="A591" s="33"/>
      <c r="B591" s="34"/>
      <c r="C591" s="34"/>
      <c r="D591" s="35"/>
      <c r="E591" s="35"/>
      <c r="F591" s="35"/>
      <c r="G591" s="35"/>
      <c r="H591" s="34"/>
      <c r="I591" s="34"/>
      <c r="J591" s="34"/>
      <c r="K591" s="34"/>
      <c r="L591" s="34"/>
      <c r="M591" s="34"/>
      <c r="N591" s="34"/>
      <c r="O591" s="34"/>
    </row>
    <row r="592">
      <c r="A592" s="33"/>
      <c r="B592" s="34"/>
      <c r="C592" s="34"/>
      <c r="D592" s="35"/>
      <c r="E592" s="35"/>
      <c r="F592" s="35"/>
      <c r="G592" s="35"/>
      <c r="H592" s="34"/>
      <c r="I592" s="34"/>
      <c r="J592" s="34"/>
      <c r="K592" s="34"/>
      <c r="L592" s="34"/>
      <c r="M592" s="34"/>
      <c r="N592" s="34"/>
      <c r="O592" s="34"/>
    </row>
    <row r="593">
      <c r="A593" s="33"/>
      <c r="B593" s="34"/>
      <c r="C593" s="34"/>
      <c r="D593" s="35"/>
      <c r="E593" s="35"/>
      <c r="F593" s="35"/>
      <c r="G593" s="35"/>
      <c r="H593" s="34"/>
      <c r="I593" s="34"/>
      <c r="J593" s="34"/>
      <c r="K593" s="34"/>
      <c r="L593" s="34"/>
      <c r="M593" s="34"/>
      <c r="N593" s="34"/>
      <c r="O593" s="34"/>
    </row>
    <row r="594">
      <c r="A594" s="33"/>
      <c r="B594" s="34"/>
      <c r="C594" s="34"/>
      <c r="D594" s="35"/>
      <c r="E594" s="35"/>
      <c r="F594" s="35"/>
      <c r="G594" s="35"/>
      <c r="H594" s="34"/>
      <c r="I594" s="34"/>
      <c r="J594" s="34"/>
      <c r="K594" s="34"/>
      <c r="L594" s="34"/>
      <c r="M594" s="34"/>
      <c r="N594" s="34"/>
      <c r="O594" s="34"/>
    </row>
    <row r="595">
      <c r="A595" s="33"/>
      <c r="B595" s="34"/>
      <c r="C595" s="34"/>
      <c r="D595" s="35"/>
      <c r="E595" s="35"/>
      <c r="F595" s="35"/>
      <c r="G595" s="35"/>
      <c r="H595" s="34"/>
      <c r="I595" s="34"/>
      <c r="J595" s="34"/>
      <c r="K595" s="34"/>
      <c r="L595" s="34"/>
      <c r="M595" s="34"/>
      <c r="N595" s="34"/>
      <c r="O595" s="34"/>
    </row>
    <row r="596">
      <c r="A596" s="33"/>
      <c r="B596" s="34"/>
      <c r="C596" s="34"/>
      <c r="D596" s="35"/>
      <c r="E596" s="35"/>
      <c r="F596" s="35"/>
      <c r="G596" s="35"/>
      <c r="H596" s="34"/>
      <c r="I596" s="34"/>
      <c r="J596" s="34"/>
      <c r="K596" s="34"/>
      <c r="L596" s="34"/>
      <c r="M596" s="34"/>
      <c r="N596" s="34"/>
      <c r="O596" s="34"/>
    </row>
    <row r="597">
      <c r="A597" s="33"/>
      <c r="B597" s="34"/>
      <c r="C597" s="34"/>
      <c r="D597" s="35"/>
      <c r="E597" s="35"/>
      <c r="F597" s="35"/>
      <c r="G597" s="35"/>
      <c r="H597" s="34"/>
      <c r="I597" s="34"/>
      <c r="J597" s="34"/>
      <c r="K597" s="34"/>
      <c r="L597" s="34"/>
      <c r="M597" s="34"/>
      <c r="N597" s="34"/>
      <c r="O597" s="34"/>
    </row>
    <row r="598">
      <c r="A598" s="33"/>
      <c r="B598" s="34"/>
      <c r="C598" s="34"/>
      <c r="D598" s="35"/>
      <c r="E598" s="35"/>
      <c r="F598" s="35"/>
      <c r="G598" s="35"/>
      <c r="H598" s="34"/>
      <c r="I598" s="34"/>
      <c r="J598" s="34"/>
      <c r="K598" s="34"/>
      <c r="L598" s="34"/>
      <c r="M598" s="34"/>
      <c r="N598" s="34"/>
      <c r="O598" s="34"/>
    </row>
    <row r="599">
      <c r="A599" s="33"/>
      <c r="B599" s="34"/>
      <c r="C599" s="34"/>
      <c r="D599" s="35"/>
      <c r="E599" s="35"/>
      <c r="F599" s="35"/>
      <c r="G599" s="35"/>
      <c r="H599" s="34"/>
      <c r="I599" s="34"/>
      <c r="J599" s="34"/>
      <c r="K599" s="34"/>
      <c r="L599" s="34"/>
      <c r="M599" s="34"/>
      <c r="N599" s="34"/>
      <c r="O599" s="34"/>
    </row>
    <row r="600">
      <c r="A600" s="33"/>
      <c r="B600" s="34"/>
      <c r="C600" s="34"/>
      <c r="D600" s="35"/>
      <c r="E600" s="35"/>
      <c r="F600" s="35"/>
      <c r="G600" s="35"/>
      <c r="H600" s="34"/>
      <c r="I600" s="34"/>
      <c r="J600" s="34"/>
      <c r="K600" s="34"/>
      <c r="L600" s="34"/>
      <c r="M600" s="34"/>
      <c r="N600" s="34"/>
      <c r="O600" s="34"/>
    </row>
    <row r="601">
      <c r="A601" s="33"/>
      <c r="B601" s="34"/>
      <c r="C601" s="34"/>
      <c r="D601" s="35"/>
      <c r="E601" s="35"/>
      <c r="F601" s="35"/>
      <c r="G601" s="35"/>
      <c r="H601" s="34"/>
      <c r="I601" s="34"/>
      <c r="J601" s="34"/>
      <c r="K601" s="34"/>
      <c r="L601" s="34"/>
      <c r="M601" s="34"/>
      <c r="N601" s="34"/>
      <c r="O601" s="34"/>
    </row>
    <row r="602">
      <c r="A602" s="33"/>
      <c r="B602" s="34"/>
      <c r="C602" s="34"/>
      <c r="D602" s="35"/>
      <c r="E602" s="35"/>
      <c r="F602" s="35"/>
      <c r="G602" s="35"/>
      <c r="H602" s="34"/>
      <c r="I602" s="34"/>
      <c r="J602" s="34"/>
      <c r="K602" s="34"/>
      <c r="L602" s="34"/>
      <c r="M602" s="34"/>
      <c r="N602" s="34"/>
      <c r="O602" s="34"/>
    </row>
    <row r="603">
      <c r="A603" s="33"/>
      <c r="B603" s="34"/>
      <c r="C603" s="34"/>
      <c r="D603" s="35"/>
      <c r="E603" s="35"/>
      <c r="F603" s="35"/>
      <c r="G603" s="35"/>
      <c r="H603" s="34"/>
      <c r="I603" s="34"/>
      <c r="J603" s="34"/>
      <c r="K603" s="34"/>
      <c r="L603" s="34"/>
      <c r="M603" s="34"/>
      <c r="N603" s="34"/>
      <c r="O603" s="34"/>
    </row>
    <row r="604">
      <c r="A604" s="33"/>
      <c r="B604" s="34"/>
      <c r="C604" s="34"/>
      <c r="D604" s="35"/>
      <c r="E604" s="35"/>
      <c r="F604" s="35"/>
      <c r="G604" s="35"/>
      <c r="H604" s="34"/>
      <c r="I604" s="34"/>
      <c r="J604" s="34"/>
      <c r="K604" s="34"/>
      <c r="L604" s="34"/>
      <c r="M604" s="34"/>
      <c r="N604" s="34"/>
      <c r="O604" s="34"/>
    </row>
    <row r="605">
      <c r="A605" s="33"/>
      <c r="B605" s="34"/>
      <c r="C605" s="34"/>
      <c r="D605" s="35"/>
      <c r="E605" s="35"/>
      <c r="F605" s="35"/>
      <c r="G605" s="35"/>
      <c r="H605" s="34"/>
      <c r="I605" s="34"/>
      <c r="J605" s="34"/>
      <c r="K605" s="34"/>
      <c r="L605" s="34"/>
      <c r="M605" s="34"/>
      <c r="N605" s="34"/>
      <c r="O605" s="34"/>
    </row>
    <row r="606">
      <c r="A606" s="33"/>
      <c r="B606" s="34"/>
      <c r="C606" s="34"/>
      <c r="D606" s="35"/>
      <c r="E606" s="35"/>
      <c r="F606" s="35"/>
      <c r="G606" s="35"/>
      <c r="H606" s="34"/>
      <c r="I606" s="34"/>
      <c r="J606" s="34"/>
      <c r="K606" s="34"/>
      <c r="L606" s="34"/>
      <c r="M606" s="34"/>
      <c r="N606" s="34"/>
      <c r="O606" s="34"/>
    </row>
    <row r="607">
      <c r="A607" s="33"/>
      <c r="B607" s="34"/>
      <c r="C607" s="34"/>
      <c r="D607" s="35"/>
      <c r="E607" s="35"/>
      <c r="F607" s="35"/>
      <c r="G607" s="35"/>
      <c r="H607" s="34"/>
      <c r="I607" s="34"/>
      <c r="J607" s="34"/>
      <c r="K607" s="34"/>
      <c r="L607" s="34"/>
      <c r="M607" s="34"/>
      <c r="N607" s="34"/>
      <c r="O607" s="34"/>
    </row>
    <row r="608">
      <c r="A608" s="33"/>
      <c r="B608" s="34"/>
      <c r="C608" s="34"/>
      <c r="D608" s="35"/>
      <c r="E608" s="35"/>
      <c r="F608" s="35"/>
      <c r="G608" s="35"/>
      <c r="H608" s="34"/>
      <c r="I608" s="34"/>
      <c r="J608" s="34"/>
      <c r="K608" s="34"/>
      <c r="L608" s="34"/>
      <c r="M608" s="34"/>
      <c r="N608" s="34"/>
      <c r="O608" s="34"/>
    </row>
    <row r="609">
      <c r="A609" s="33"/>
      <c r="B609" s="34"/>
      <c r="C609" s="34"/>
      <c r="D609" s="35"/>
      <c r="E609" s="35"/>
      <c r="F609" s="35"/>
      <c r="G609" s="35"/>
      <c r="H609" s="34"/>
      <c r="I609" s="34"/>
      <c r="J609" s="34"/>
      <c r="K609" s="34"/>
      <c r="L609" s="34"/>
      <c r="M609" s="34"/>
      <c r="N609" s="34"/>
      <c r="O609" s="34"/>
    </row>
    <row r="610">
      <c r="A610" s="33"/>
      <c r="B610" s="34"/>
      <c r="C610" s="34"/>
      <c r="D610" s="35"/>
      <c r="E610" s="35"/>
      <c r="F610" s="35"/>
      <c r="G610" s="35"/>
      <c r="H610" s="34"/>
      <c r="I610" s="34"/>
      <c r="J610" s="34"/>
      <c r="K610" s="34"/>
      <c r="L610" s="34"/>
      <c r="M610" s="34"/>
      <c r="N610" s="34"/>
      <c r="O610" s="34"/>
    </row>
    <row r="611">
      <c r="A611" s="33"/>
      <c r="B611" s="34"/>
      <c r="C611" s="34"/>
      <c r="D611" s="35"/>
      <c r="E611" s="35"/>
      <c r="F611" s="35"/>
      <c r="G611" s="35"/>
      <c r="H611" s="34"/>
      <c r="I611" s="34"/>
      <c r="J611" s="34"/>
      <c r="K611" s="34"/>
      <c r="L611" s="34"/>
      <c r="M611" s="34"/>
      <c r="N611" s="34"/>
      <c r="O611" s="34"/>
    </row>
    <row r="612">
      <c r="A612" s="33"/>
      <c r="B612" s="34"/>
      <c r="C612" s="34"/>
      <c r="D612" s="35"/>
      <c r="E612" s="35"/>
      <c r="F612" s="35"/>
      <c r="G612" s="35"/>
      <c r="H612" s="34"/>
      <c r="I612" s="34"/>
      <c r="J612" s="34"/>
      <c r="K612" s="34"/>
      <c r="L612" s="34"/>
      <c r="M612" s="34"/>
      <c r="N612" s="34"/>
      <c r="O612" s="34"/>
    </row>
    <row r="613">
      <c r="A613" s="33"/>
      <c r="B613" s="34"/>
      <c r="C613" s="34"/>
      <c r="D613" s="35"/>
      <c r="E613" s="35"/>
      <c r="F613" s="35"/>
      <c r="G613" s="35"/>
      <c r="H613" s="34"/>
      <c r="I613" s="34"/>
      <c r="J613" s="34"/>
      <c r="K613" s="34"/>
      <c r="L613" s="34"/>
      <c r="M613" s="34"/>
      <c r="N613" s="34"/>
      <c r="O613" s="34"/>
    </row>
    <row r="614">
      <c r="A614" s="33"/>
      <c r="B614" s="34"/>
      <c r="C614" s="34"/>
      <c r="D614" s="35"/>
      <c r="E614" s="35"/>
      <c r="F614" s="35"/>
      <c r="G614" s="35"/>
      <c r="H614" s="34"/>
      <c r="I614" s="34"/>
      <c r="J614" s="34"/>
      <c r="K614" s="34"/>
      <c r="L614" s="34"/>
      <c r="M614" s="34"/>
      <c r="N614" s="34"/>
      <c r="O614" s="34"/>
    </row>
    <row r="615">
      <c r="A615" s="33"/>
      <c r="B615" s="34"/>
      <c r="C615" s="34"/>
      <c r="D615" s="35"/>
      <c r="E615" s="35"/>
      <c r="F615" s="35"/>
      <c r="G615" s="35"/>
      <c r="H615" s="34"/>
      <c r="I615" s="34"/>
      <c r="J615" s="34"/>
      <c r="K615" s="34"/>
      <c r="L615" s="34"/>
      <c r="M615" s="34"/>
      <c r="N615" s="34"/>
      <c r="O615" s="34"/>
    </row>
    <row r="616">
      <c r="A616" s="33"/>
      <c r="B616" s="34"/>
      <c r="C616" s="34"/>
      <c r="D616" s="35"/>
      <c r="E616" s="35"/>
      <c r="F616" s="35"/>
      <c r="G616" s="35"/>
      <c r="H616" s="34"/>
      <c r="I616" s="34"/>
      <c r="J616" s="34"/>
      <c r="K616" s="34"/>
      <c r="L616" s="34"/>
      <c r="M616" s="34"/>
      <c r="N616" s="34"/>
      <c r="O616" s="34"/>
    </row>
    <row r="617">
      <c r="A617" s="33"/>
      <c r="B617" s="34"/>
      <c r="C617" s="34"/>
      <c r="D617" s="35"/>
      <c r="E617" s="35"/>
      <c r="F617" s="35"/>
      <c r="G617" s="35"/>
      <c r="H617" s="34"/>
      <c r="I617" s="34"/>
      <c r="J617" s="34"/>
      <c r="K617" s="34"/>
      <c r="L617" s="34"/>
      <c r="M617" s="34"/>
      <c r="N617" s="34"/>
      <c r="O617" s="34"/>
    </row>
    <row r="618">
      <c r="A618" s="33"/>
      <c r="B618" s="34"/>
      <c r="C618" s="34"/>
      <c r="D618" s="35"/>
      <c r="E618" s="35"/>
      <c r="F618" s="35"/>
      <c r="G618" s="35"/>
      <c r="H618" s="34"/>
      <c r="I618" s="34"/>
      <c r="J618" s="34"/>
      <c r="K618" s="34"/>
      <c r="L618" s="34"/>
      <c r="M618" s="34"/>
      <c r="N618" s="34"/>
      <c r="O618" s="34"/>
    </row>
    <row r="619">
      <c r="A619" s="33"/>
      <c r="B619" s="34"/>
      <c r="C619" s="34"/>
      <c r="D619" s="35"/>
      <c r="E619" s="35"/>
      <c r="F619" s="35"/>
      <c r="G619" s="35"/>
      <c r="H619" s="34"/>
      <c r="I619" s="34"/>
      <c r="J619" s="34"/>
      <c r="K619" s="34"/>
      <c r="L619" s="34"/>
      <c r="M619" s="34"/>
      <c r="N619" s="34"/>
      <c r="O619" s="34"/>
    </row>
    <row r="620">
      <c r="A620" s="33"/>
      <c r="B620" s="34"/>
      <c r="C620" s="34"/>
      <c r="D620" s="35"/>
      <c r="E620" s="35"/>
      <c r="F620" s="35"/>
      <c r="G620" s="35"/>
      <c r="H620" s="34"/>
      <c r="I620" s="34"/>
      <c r="J620" s="34"/>
      <c r="K620" s="34"/>
      <c r="L620" s="34"/>
      <c r="M620" s="34"/>
      <c r="N620" s="34"/>
      <c r="O620" s="34"/>
    </row>
    <row r="621">
      <c r="A621" s="33"/>
      <c r="B621" s="34"/>
      <c r="C621" s="34"/>
      <c r="D621" s="35"/>
      <c r="E621" s="35"/>
      <c r="F621" s="35"/>
      <c r="G621" s="35"/>
      <c r="H621" s="34"/>
      <c r="I621" s="34"/>
      <c r="J621" s="34"/>
      <c r="K621" s="34"/>
      <c r="L621" s="34"/>
      <c r="M621" s="34"/>
      <c r="N621" s="34"/>
      <c r="O621" s="34"/>
    </row>
    <row r="622">
      <c r="A622" s="33"/>
      <c r="B622" s="34"/>
      <c r="C622" s="34"/>
      <c r="D622" s="35"/>
      <c r="E622" s="35"/>
      <c r="F622" s="35"/>
      <c r="G622" s="35"/>
      <c r="H622" s="34"/>
      <c r="I622" s="34"/>
      <c r="J622" s="34"/>
      <c r="K622" s="34"/>
      <c r="L622" s="34"/>
      <c r="M622" s="34"/>
      <c r="N622" s="34"/>
      <c r="O622" s="34"/>
    </row>
    <row r="623">
      <c r="A623" s="33"/>
      <c r="B623" s="34"/>
      <c r="C623" s="34"/>
      <c r="D623" s="35"/>
      <c r="E623" s="35"/>
      <c r="F623" s="35"/>
      <c r="G623" s="35"/>
      <c r="H623" s="34"/>
      <c r="I623" s="34"/>
      <c r="J623" s="34"/>
      <c r="K623" s="34"/>
      <c r="L623" s="34"/>
      <c r="M623" s="34"/>
      <c r="N623" s="34"/>
      <c r="O623" s="34"/>
    </row>
    <row r="624">
      <c r="A624" s="33"/>
      <c r="B624" s="34"/>
      <c r="C624" s="34"/>
      <c r="D624" s="35"/>
      <c r="E624" s="35"/>
      <c r="F624" s="35"/>
      <c r="G624" s="35"/>
      <c r="H624" s="34"/>
      <c r="I624" s="34"/>
      <c r="J624" s="34"/>
      <c r="K624" s="34"/>
      <c r="L624" s="34"/>
      <c r="M624" s="34"/>
      <c r="N624" s="34"/>
      <c r="O624" s="34"/>
    </row>
    <row r="625">
      <c r="A625" s="33"/>
      <c r="B625" s="34"/>
      <c r="C625" s="34"/>
      <c r="D625" s="35"/>
      <c r="E625" s="35"/>
      <c r="F625" s="35"/>
      <c r="G625" s="35"/>
      <c r="H625" s="34"/>
      <c r="I625" s="34"/>
      <c r="J625" s="34"/>
      <c r="K625" s="34"/>
      <c r="L625" s="34"/>
      <c r="M625" s="34"/>
      <c r="N625" s="34"/>
      <c r="O625" s="34"/>
    </row>
    <row r="626">
      <c r="A626" s="33"/>
      <c r="B626" s="34"/>
      <c r="C626" s="34"/>
      <c r="D626" s="35"/>
      <c r="E626" s="35"/>
      <c r="F626" s="35"/>
      <c r="G626" s="35"/>
      <c r="H626" s="34"/>
      <c r="I626" s="34"/>
      <c r="J626" s="34"/>
      <c r="K626" s="34"/>
      <c r="L626" s="34"/>
      <c r="M626" s="34"/>
      <c r="N626" s="34"/>
      <c r="O626" s="34"/>
    </row>
    <row r="627">
      <c r="A627" s="33"/>
      <c r="B627" s="34"/>
      <c r="C627" s="34"/>
      <c r="D627" s="35"/>
      <c r="E627" s="35"/>
      <c r="F627" s="35"/>
      <c r="G627" s="35"/>
      <c r="H627" s="34"/>
      <c r="I627" s="34"/>
      <c r="J627" s="34"/>
      <c r="K627" s="34"/>
      <c r="L627" s="34"/>
      <c r="M627" s="34"/>
      <c r="N627" s="34"/>
      <c r="O627" s="34"/>
    </row>
    <row r="628">
      <c r="A628" s="33"/>
      <c r="B628" s="34"/>
      <c r="C628" s="34"/>
      <c r="D628" s="35"/>
      <c r="E628" s="35"/>
      <c r="F628" s="35"/>
      <c r="G628" s="35"/>
      <c r="H628" s="34"/>
      <c r="I628" s="34"/>
      <c r="J628" s="34"/>
      <c r="K628" s="34"/>
      <c r="L628" s="34"/>
      <c r="M628" s="34"/>
      <c r="N628" s="34"/>
      <c r="O628" s="34"/>
    </row>
    <row r="629">
      <c r="A629" s="33"/>
      <c r="B629" s="34"/>
      <c r="C629" s="34"/>
      <c r="D629" s="35"/>
      <c r="E629" s="35"/>
      <c r="F629" s="35"/>
      <c r="G629" s="35"/>
      <c r="H629" s="34"/>
      <c r="I629" s="34"/>
      <c r="J629" s="34"/>
      <c r="K629" s="34"/>
      <c r="L629" s="34"/>
      <c r="M629" s="34"/>
      <c r="N629" s="34"/>
      <c r="O629" s="34"/>
    </row>
    <row r="630">
      <c r="A630" s="33"/>
      <c r="B630" s="34"/>
      <c r="C630" s="34"/>
      <c r="D630" s="35"/>
      <c r="E630" s="35"/>
      <c r="F630" s="35"/>
      <c r="G630" s="35"/>
      <c r="H630" s="34"/>
      <c r="I630" s="34"/>
      <c r="J630" s="34"/>
      <c r="K630" s="34"/>
      <c r="L630" s="34"/>
      <c r="M630" s="34"/>
      <c r="N630" s="34"/>
      <c r="O630" s="34"/>
    </row>
    <row r="631">
      <c r="A631" s="33"/>
      <c r="B631" s="34"/>
      <c r="C631" s="34"/>
      <c r="D631" s="35"/>
      <c r="E631" s="35"/>
      <c r="F631" s="35"/>
      <c r="G631" s="35"/>
      <c r="H631" s="34"/>
      <c r="I631" s="34"/>
      <c r="J631" s="34"/>
      <c r="K631" s="34"/>
      <c r="L631" s="34"/>
      <c r="M631" s="34"/>
      <c r="N631" s="34"/>
      <c r="O631" s="34"/>
    </row>
    <row r="632">
      <c r="A632" s="33"/>
      <c r="B632" s="34"/>
      <c r="C632" s="34"/>
      <c r="D632" s="35"/>
      <c r="E632" s="35"/>
      <c r="F632" s="35"/>
      <c r="G632" s="35"/>
      <c r="H632" s="34"/>
      <c r="I632" s="34"/>
      <c r="J632" s="34"/>
      <c r="K632" s="34"/>
      <c r="L632" s="34"/>
      <c r="M632" s="34"/>
      <c r="N632" s="34"/>
      <c r="O632" s="34"/>
    </row>
    <row r="633">
      <c r="A633" s="33"/>
      <c r="B633" s="34"/>
      <c r="C633" s="34"/>
      <c r="D633" s="35"/>
      <c r="E633" s="35"/>
      <c r="F633" s="35"/>
      <c r="G633" s="35"/>
      <c r="H633" s="34"/>
      <c r="I633" s="34"/>
      <c r="J633" s="34"/>
      <c r="K633" s="34"/>
      <c r="L633" s="34"/>
      <c r="M633" s="34"/>
      <c r="N633" s="34"/>
      <c r="O633" s="34"/>
    </row>
    <row r="634">
      <c r="A634" s="33"/>
      <c r="B634" s="34"/>
      <c r="C634" s="34"/>
      <c r="D634" s="35"/>
      <c r="E634" s="35"/>
      <c r="F634" s="35"/>
      <c r="G634" s="35"/>
      <c r="H634" s="34"/>
      <c r="I634" s="34"/>
      <c r="J634" s="34"/>
      <c r="K634" s="34"/>
      <c r="L634" s="34"/>
      <c r="M634" s="34"/>
      <c r="N634" s="34"/>
      <c r="O634" s="34"/>
    </row>
    <row r="635">
      <c r="A635" s="33"/>
      <c r="B635" s="34"/>
      <c r="C635" s="34"/>
      <c r="D635" s="35"/>
      <c r="E635" s="35"/>
      <c r="F635" s="35"/>
      <c r="G635" s="35"/>
      <c r="H635" s="34"/>
      <c r="I635" s="34"/>
      <c r="J635" s="34"/>
      <c r="K635" s="34"/>
      <c r="L635" s="34"/>
      <c r="M635" s="34"/>
      <c r="N635" s="34"/>
      <c r="O635" s="34"/>
    </row>
    <row r="636">
      <c r="A636" s="33"/>
      <c r="B636" s="34"/>
      <c r="C636" s="34"/>
      <c r="D636" s="35"/>
      <c r="E636" s="35"/>
      <c r="F636" s="35"/>
      <c r="G636" s="35"/>
      <c r="H636" s="34"/>
      <c r="I636" s="34"/>
      <c r="J636" s="34"/>
      <c r="K636" s="34"/>
      <c r="L636" s="34"/>
      <c r="M636" s="34"/>
      <c r="N636" s="34"/>
      <c r="O636" s="34"/>
    </row>
    <row r="637">
      <c r="A637" s="33"/>
      <c r="B637" s="34"/>
      <c r="C637" s="34"/>
      <c r="D637" s="35"/>
      <c r="E637" s="35"/>
      <c r="F637" s="35"/>
      <c r="G637" s="35"/>
      <c r="H637" s="34"/>
      <c r="I637" s="34"/>
      <c r="J637" s="34"/>
      <c r="K637" s="34"/>
      <c r="L637" s="34"/>
      <c r="M637" s="34"/>
      <c r="N637" s="34"/>
      <c r="O637" s="34"/>
    </row>
    <row r="638">
      <c r="A638" s="33"/>
      <c r="B638" s="34"/>
      <c r="C638" s="34"/>
      <c r="D638" s="35"/>
      <c r="E638" s="35"/>
      <c r="F638" s="35"/>
      <c r="G638" s="35"/>
      <c r="H638" s="34"/>
      <c r="I638" s="34"/>
      <c r="J638" s="34"/>
      <c r="K638" s="34"/>
      <c r="L638" s="34"/>
      <c r="M638" s="34"/>
      <c r="N638" s="34"/>
      <c r="O638" s="34"/>
    </row>
    <row r="639">
      <c r="A639" s="33"/>
      <c r="B639" s="34"/>
      <c r="C639" s="34"/>
      <c r="D639" s="35"/>
      <c r="E639" s="35"/>
      <c r="F639" s="35"/>
      <c r="G639" s="35"/>
      <c r="H639" s="34"/>
      <c r="I639" s="34"/>
      <c r="J639" s="34"/>
      <c r="K639" s="34"/>
      <c r="L639" s="34"/>
      <c r="M639" s="34"/>
      <c r="N639" s="34"/>
      <c r="O639" s="34"/>
    </row>
    <row r="640">
      <c r="A640" s="33"/>
      <c r="B640" s="34"/>
      <c r="C640" s="34"/>
      <c r="D640" s="35"/>
      <c r="E640" s="35"/>
      <c r="F640" s="35"/>
      <c r="G640" s="35"/>
      <c r="H640" s="34"/>
      <c r="I640" s="34"/>
      <c r="J640" s="34"/>
      <c r="K640" s="34"/>
      <c r="L640" s="34"/>
      <c r="M640" s="34"/>
      <c r="N640" s="34"/>
      <c r="O640" s="34"/>
    </row>
    <row r="641">
      <c r="A641" s="33"/>
      <c r="B641" s="34"/>
      <c r="C641" s="34"/>
      <c r="D641" s="35"/>
      <c r="E641" s="35"/>
      <c r="F641" s="35"/>
      <c r="G641" s="35"/>
      <c r="H641" s="34"/>
      <c r="I641" s="34"/>
      <c r="J641" s="34"/>
      <c r="K641" s="34"/>
      <c r="L641" s="34"/>
      <c r="M641" s="34"/>
      <c r="N641" s="34"/>
      <c r="O641" s="34"/>
    </row>
    <row r="642">
      <c r="A642" s="33"/>
      <c r="B642" s="34"/>
      <c r="C642" s="34"/>
      <c r="D642" s="35"/>
      <c r="E642" s="35"/>
      <c r="F642" s="35"/>
      <c r="G642" s="35"/>
      <c r="H642" s="34"/>
      <c r="I642" s="34"/>
      <c r="J642" s="34"/>
      <c r="K642" s="34"/>
      <c r="L642" s="34"/>
      <c r="M642" s="34"/>
      <c r="N642" s="34"/>
      <c r="O642" s="34"/>
    </row>
    <row r="643">
      <c r="A643" s="33"/>
      <c r="B643" s="34"/>
      <c r="C643" s="34"/>
      <c r="D643" s="35"/>
      <c r="E643" s="35"/>
      <c r="F643" s="35"/>
      <c r="G643" s="35"/>
      <c r="H643" s="34"/>
      <c r="I643" s="34"/>
      <c r="J643" s="34"/>
      <c r="K643" s="34"/>
      <c r="L643" s="34"/>
      <c r="M643" s="34"/>
      <c r="N643" s="34"/>
      <c r="O643" s="34"/>
    </row>
    <row r="644">
      <c r="A644" s="33"/>
      <c r="B644" s="34"/>
      <c r="C644" s="34"/>
      <c r="D644" s="35"/>
      <c r="E644" s="35"/>
      <c r="F644" s="35"/>
      <c r="G644" s="35"/>
      <c r="H644" s="34"/>
      <c r="I644" s="34"/>
      <c r="J644" s="34"/>
      <c r="K644" s="34"/>
      <c r="L644" s="34"/>
      <c r="M644" s="34"/>
      <c r="N644" s="34"/>
      <c r="O644" s="34"/>
    </row>
    <row r="645">
      <c r="A645" s="33"/>
      <c r="B645" s="34"/>
      <c r="C645" s="34"/>
      <c r="D645" s="35"/>
      <c r="E645" s="35"/>
      <c r="F645" s="35"/>
      <c r="G645" s="35"/>
      <c r="H645" s="34"/>
      <c r="I645" s="34"/>
      <c r="J645" s="34"/>
      <c r="K645" s="34"/>
      <c r="L645" s="34"/>
      <c r="M645" s="34"/>
      <c r="N645" s="34"/>
      <c r="O645" s="34"/>
    </row>
    <row r="646">
      <c r="A646" s="33"/>
      <c r="B646" s="34"/>
      <c r="C646" s="34"/>
      <c r="D646" s="35"/>
      <c r="E646" s="35"/>
      <c r="F646" s="35"/>
      <c r="G646" s="35"/>
      <c r="H646" s="34"/>
      <c r="I646" s="34"/>
      <c r="J646" s="34"/>
      <c r="K646" s="34"/>
      <c r="L646" s="34"/>
      <c r="M646" s="34"/>
      <c r="N646" s="34"/>
      <c r="O646" s="34"/>
    </row>
    <row r="647">
      <c r="A647" s="33"/>
      <c r="B647" s="34"/>
      <c r="C647" s="34"/>
      <c r="D647" s="35"/>
      <c r="E647" s="35"/>
      <c r="F647" s="35"/>
      <c r="G647" s="35"/>
      <c r="H647" s="34"/>
      <c r="I647" s="34"/>
      <c r="J647" s="34"/>
      <c r="K647" s="34"/>
      <c r="L647" s="34"/>
      <c r="M647" s="34"/>
      <c r="N647" s="34"/>
      <c r="O647" s="34"/>
    </row>
    <row r="648">
      <c r="A648" s="33"/>
      <c r="B648" s="34"/>
      <c r="C648" s="34"/>
      <c r="D648" s="35"/>
      <c r="E648" s="35"/>
      <c r="F648" s="35"/>
      <c r="G648" s="35"/>
      <c r="H648" s="34"/>
      <c r="I648" s="34"/>
      <c r="J648" s="34"/>
      <c r="K648" s="34"/>
      <c r="L648" s="34"/>
      <c r="M648" s="34"/>
      <c r="N648" s="34"/>
      <c r="O648" s="34"/>
    </row>
    <row r="649">
      <c r="A649" s="33"/>
      <c r="B649" s="34"/>
      <c r="C649" s="34"/>
      <c r="D649" s="35"/>
      <c r="E649" s="35"/>
      <c r="F649" s="35"/>
      <c r="G649" s="35"/>
      <c r="H649" s="34"/>
      <c r="I649" s="34"/>
      <c r="J649" s="34"/>
      <c r="K649" s="34"/>
      <c r="L649" s="34"/>
      <c r="M649" s="34"/>
      <c r="N649" s="34"/>
      <c r="O649" s="34"/>
    </row>
    <row r="650">
      <c r="A650" s="33"/>
      <c r="B650" s="34"/>
      <c r="C650" s="34"/>
      <c r="D650" s="35"/>
      <c r="E650" s="35"/>
      <c r="F650" s="35"/>
      <c r="G650" s="35"/>
      <c r="H650" s="34"/>
      <c r="I650" s="34"/>
      <c r="J650" s="34"/>
      <c r="K650" s="34"/>
      <c r="L650" s="34"/>
      <c r="M650" s="34"/>
      <c r="N650" s="34"/>
      <c r="O650" s="34"/>
    </row>
    <row r="651">
      <c r="A651" s="33"/>
      <c r="B651" s="34"/>
      <c r="C651" s="34"/>
      <c r="D651" s="35"/>
      <c r="E651" s="35"/>
      <c r="F651" s="35"/>
      <c r="G651" s="35"/>
      <c r="H651" s="34"/>
      <c r="I651" s="34"/>
      <c r="J651" s="34"/>
      <c r="K651" s="34"/>
      <c r="L651" s="34"/>
      <c r="M651" s="34"/>
      <c r="N651" s="34"/>
      <c r="O651" s="34"/>
    </row>
    <row r="652">
      <c r="A652" s="33"/>
      <c r="B652" s="34"/>
      <c r="C652" s="34"/>
      <c r="D652" s="35"/>
      <c r="E652" s="35"/>
      <c r="F652" s="35"/>
      <c r="G652" s="35"/>
      <c r="H652" s="34"/>
      <c r="I652" s="34"/>
      <c r="J652" s="34"/>
      <c r="K652" s="34"/>
      <c r="L652" s="34"/>
      <c r="M652" s="34"/>
      <c r="N652" s="34"/>
      <c r="O652" s="34"/>
    </row>
    <row r="653">
      <c r="A653" s="33"/>
      <c r="B653" s="34"/>
      <c r="C653" s="34"/>
      <c r="D653" s="35"/>
      <c r="E653" s="35"/>
      <c r="F653" s="35"/>
      <c r="G653" s="35"/>
      <c r="H653" s="34"/>
      <c r="I653" s="34"/>
      <c r="J653" s="34"/>
      <c r="K653" s="34"/>
      <c r="L653" s="34"/>
      <c r="M653" s="34"/>
      <c r="N653" s="34"/>
      <c r="O653" s="34"/>
    </row>
    <row r="654">
      <c r="A654" s="33"/>
      <c r="B654" s="34"/>
      <c r="C654" s="34"/>
      <c r="D654" s="35"/>
      <c r="E654" s="35"/>
      <c r="F654" s="35"/>
      <c r="G654" s="35"/>
      <c r="H654" s="34"/>
      <c r="I654" s="34"/>
      <c r="J654" s="34"/>
      <c r="K654" s="34"/>
      <c r="L654" s="34"/>
      <c r="M654" s="34"/>
      <c r="N654" s="34"/>
      <c r="O654" s="34"/>
    </row>
    <row r="655">
      <c r="A655" s="33"/>
      <c r="B655" s="34"/>
      <c r="C655" s="34"/>
      <c r="D655" s="35"/>
      <c r="E655" s="35"/>
      <c r="F655" s="35"/>
      <c r="G655" s="35"/>
      <c r="H655" s="34"/>
      <c r="I655" s="34"/>
      <c r="J655" s="34"/>
      <c r="K655" s="34"/>
      <c r="L655" s="34"/>
      <c r="M655" s="34"/>
      <c r="N655" s="34"/>
      <c r="O655" s="34"/>
    </row>
    <row r="656">
      <c r="A656" s="33"/>
      <c r="B656" s="34"/>
      <c r="C656" s="34"/>
      <c r="D656" s="35"/>
      <c r="E656" s="35"/>
      <c r="F656" s="35"/>
      <c r="G656" s="35"/>
      <c r="H656" s="34"/>
      <c r="I656" s="34"/>
      <c r="J656" s="34"/>
      <c r="K656" s="34"/>
      <c r="L656" s="34"/>
      <c r="M656" s="34"/>
      <c r="N656" s="34"/>
      <c r="O656" s="34"/>
    </row>
    <row r="657">
      <c r="A657" s="33"/>
      <c r="B657" s="34"/>
      <c r="C657" s="34"/>
      <c r="D657" s="35"/>
      <c r="E657" s="35"/>
      <c r="F657" s="35"/>
      <c r="G657" s="35"/>
      <c r="H657" s="34"/>
      <c r="I657" s="34"/>
      <c r="J657" s="34"/>
      <c r="K657" s="34"/>
      <c r="L657" s="34"/>
      <c r="M657" s="34"/>
      <c r="N657" s="34"/>
      <c r="O657" s="34"/>
    </row>
    <row r="658">
      <c r="A658" s="33"/>
      <c r="B658" s="34"/>
      <c r="C658" s="34"/>
      <c r="D658" s="35"/>
      <c r="E658" s="35"/>
      <c r="F658" s="35"/>
      <c r="G658" s="35"/>
      <c r="H658" s="34"/>
      <c r="I658" s="34"/>
      <c r="J658" s="34"/>
      <c r="K658" s="34"/>
      <c r="L658" s="34"/>
      <c r="M658" s="34"/>
      <c r="N658" s="34"/>
      <c r="O658" s="34"/>
    </row>
    <row r="659">
      <c r="A659" s="33"/>
      <c r="B659" s="34"/>
      <c r="C659" s="34"/>
      <c r="D659" s="35"/>
      <c r="E659" s="35"/>
      <c r="F659" s="35"/>
      <c r="G659" s="35"/>
      <c r="H659" s="34"/>
      <c r="I659" s="34"/>
      <c r="J659" s="34"/>
      <c r="K659" s="34"/>
      <c r="L659" s="34"/>
      <c r="M659" s="34"/>
      <c r="N659" s="34"/>
      <c r="O659" s="34"/>
    </row>
    <row r="660">
      <c r="A660" s="33"/>
      <c r="B660" s="34"/>
      <c r="C660" s="34"/>
      <c r="D660" s="35"/>
      <c r="E660" s="35"/>
      <c r="F660" s="35"/>
      <c r="G660" s="35"/>
      <c r="H660" s="34"/>
      <c r="I660" s="34"/>
      <c r="J660" s="34"/>
      <c r="K660" s="34"/>
      <c r="L660" s="34"/>
      <c r="M660" s="34"/>
      <c r="N660" s="34"/>
      <c r="O660" s="34"/>
    </row>
    <row r="661">
      <c r="A661" s="33"/>
      <c r="B661" s="34"/>
      <c r="C661" s="34"/>
      <c r="D661" s="35"/>
      <c r="E661" s="35"/>
      <c r="F661" s="35"/>
      <c r="G661" s="35"/>
      <c r="H661" s="34"/>
      <c r="I661" s="34"/>
      <c r="J661" s="34"/>
      <c r="K661" s="34"/>
      <c r="L661" s="34"/>
      <c r="M661" s="34"/>
      <c r="N661" s="34"/>
      <c r="O661" s="34"/>
    </row>
    <row r="662">
      <c r="A662" s="33"/>
      <c r="B662" s="34"/>
      <c r="C662" s="34"/>
      <c r="D662" s="35"/>
      <c r="E662" s="35"/>
      <c r="F662" s="35"/>
      <c r="G662" s="35"/>
      <c r="H662" s="34"/>
      <c r="I662" s="34"/>
      <c r="J662" s="34"/>
      <c r="K662" s="34"/>
      <c r="L662" s="34"/>
      <c r="M662" s="34"/>
      <c r="N662" s="34"/>
      <c r="O662" s="34"/>
    </row>
    <row r="663">
      <c r="A663" s="33"/>
      <c r="B663" s="34"/>
      <c r="C663" s="34"/>
      <c r="D663" s="35"/>
      <c r="E663" s="35"/>
      <c r="F663" s="35"/>
      <c r="G663" s="35"/>
      <c r="H663" s="34"/>
      <c r="I663" s="34"/>
      <c r="J663" s="34"/>
      <c r="K663" s="34"/>
      <c r="L663" s="34"/>
      <c r="M663" s="34"/>
      <c r="N663" s="34"/>
      <c r="O663" s="34"/>
    </row>
    <row r="664">
      <c r="A664" s="33"/>
      <c r="B664" s="34"/>
      <c r="C664" s="34"/>
      <c r="D664" s="35"/>
      <c r="E664" s="35"/>
      <c r="F664" s="35"/>
      <c r="G664" s="35"/>
      <c r="H664" s="34"/>
      <c r="I664" s="34"/>
      <c r="J664" s="34"/>
      <c r="K664" s="34"/>
      <c r="L664" s="34"/>
      <c r="M664" s="34"/>
      <c r="N664" s="34"/>
      <c r="O664" s="34"/>
    </row>
    <row r="665">
      <c r="A665" s="33"/>
      <c r="B665" s="34"/>
      <c r="C665" s="34"/>
      <c r="D665" s="35"/>
      <c r="E665" s="35"/>
      <c r="F665" s="35"/>
      <c r="G665" s="35"/>
      <c r="H665" s="34"/>
      <c r="I665" s="34"/>
      <c r="J665" s="34"/>
      <c r="K665" s="34"/>
      <c r="L665" s="34"/>
      <c r="M665" s="34"/>
      <c r="N665" s="34"/>
      <c r="O665" s="34"/>
    </row>
    <row r="666">
      <c r="A666" s="33"/>
      <c r="B666" s="34"/>
      <c r="C666" s="34"/>
      <c r="D666" s="35"/>
      <c r="E666" s="35"/>
      <c r="F666" s="35"/>
      <c r="G666" s="35"/>
      <c r="H666" s="34"/>
      <c r="I666" s="34"/>
      <c r="J666" s="34"/>
      <c r="K666" s="34"/>
      <c r="L666" s="34"/>
      <c r="M666" s="34"/>
      <c r="N666" s="34"/>
      <c r="O666" s="34"/>
    </row>
    <row r="667">
      <c r="A667" s="33"/>
      <c r="B667" s="34"/>
      <c r="C667" s="34"/>
      <c r="D667" s="35"/>
      <c r="E667" s="35"/>
      <c r="F667" s="35"/>
      <c r="G667" s="35"/>
      <c r="H667" s="34"/>
      <c r="I667" s="34"/>
      <c r="J667" s="34"/>
      <c r="K667" s="34"/>
      <c r="L667" s="34"/>
      <c r="M667" s="34"/>
      <c r="N667" s="34"/>
      <c r="O667" s="34"/>
    </row>
    <row r="668">
      <c r="A668" s="33"/>
      <c r="B668" s="34"/>
      <c r="C668" s="34"/>
      <c r="D668" s="35"/>
      <c r="E668" s="35"/>
      <c r="F668" s="35"/>
      <c r="G668" s="35"/>
      <c r="H668" s="34"/>
      <c r="I668" s="34"/>
      <c r="J668" s="34"/>
      <c r="K668" s="34"/>
      <c r="L668" s="34"/>
      <c r="M668" s="34"/>
      <c r="N668" s="34"/>
      <c r="O668" s="34"/>
    </row>
    <row r="669">
      <c r="A669" s="33"/>
      <c r="B669" s="34"/>
      <c r="C669" s="34"/>
      <c r="D669" s="35"/>
      <c r="E669" s="35"/>
      <c r="F669" s="35"/>
      <c r="G669" s="35"/>
      <c r="H669" s="34"/>
      <c r="I669" s="34"/>
      <c r="J669" s="34"/>
      <c r="K669" s="34"/>
      <c r="L669" s="34"/>
      <c r="M669" s="34"/>
      <c r="N669" s="34"/>
      <c r="O669" s="34"/>
    </row>
    <row r="670">
      <c r="A670" s="33"/>
      <c r="B670" s="34"/>
      <c r="C670" s="34"/>
      <c r="D670" s="35"/>
      <c r="E670" s="35"/>
      <c r="F670" s="35"/>
      <c r="G670" s="35"/>
      <c r="H670" s="34"/>
      <c r="I670" s="34"/>
      <c r="J670" s="34"/>
      <c r="K670" s="34"/>
      <c r="L670" s="34"/>
      <c r="M670" s="34"/>
      <c r="N670" s="34"/>
      <c r="O670" s="34"/>
    </row>
    <row r="671">
      <c r="A671" s="33"/>
      <c r="B671" s="34"/>
      <c r="C671" s="34"/>
      <c r="D671" s="35"/>
      <c r="E671" s="35"/>
      <c r="F671" s="35"/>
      <c r="G671" s="35"/>
      <c r="H671" s="34"/>
      <c r="I671" s="34"/>
      <c r="J671" s="34"/>
      <c r="K671" s="34"/>
      <c r="L671" s="34"/>
      <c r="M671" s="34"/>
      <c r="N671" s="34"/>
      <c r="O671" s="34"/>
    </row>
    <row r="672">
      <c r="A672" s="33"/>
      <c r="B672" s="34"/>
      <c r="C672" s="34"/>
      <c r="D672" s="35"/>
      <c r="E672" s="35"/>
      <c r="F672" s="35"/>
      <c r="G672" s="35"/>
      <c r="H672" s="34"/>
      <c r="I672" s="34"/>
      <c r="J672" s="34"/>
      <c r="K672" s="34"/>
      <c r="L672" s="34"/>
      <c r="M672" s="34"/>
      <c r="N672" s="34"/>
      <c r="O672" s="34"/>
    </row>
    <row r="673">
      <c r="A673" s="33"/>
      <c r="B673" s="34"/>
      <c r="C673" s="34"/>
      <c r="D673" s="35"/>
      <c r="E673" s="35"/>
      <c r="F673" s="35"/>
      <c r="G673" s="35"/>
      <c r="H673" s="34"/>
      <c r="I673" s="34"/>
      <c r="J673" s="34"/>
      <c r="K673" s="34"/>
      <c r="L673" s="34"/>
      <c r="M673" s="34"/>
      <c r="N673" s="34"/>
      <c r="O673" s="34"/>
    </row>
    <row r="674">
      <c r="A674" s="33"/>
      <c r="B674" s="34"/>
      <c r="C674" s="34"/>
      <c r="D674" s="35"/>
      <c r="E674" s="35"/>
      <c r="F674" s="35"/>
      <c r="G674" s="35"/>
      <c r="H674" s="34"/>
      <c r="I674" s="34"/>
      <c r="J674" s="34"/>
      <c r="K674" s="34"/>
      <c r="L674" s="34"/>
      <c r="M674" s="34"/>
      <c r="N674" s="34"/>
      <c r="O674" s="34"/>
    </row>
    <row r="675">
      <c r="A675" s="33"/>
      <c r="B675" s="34"/>
      <c r="C675" s="34"/>
      <c r="D675" s="35"/>
      <c r="E675" s="35"/>
      <c r="F675" s="35"/>
      <c r="G675" s="35"/>
      <c r="H675" s="34"/>
      <c r="I675" s="34"/>
      <c r="J675" s="34"/>
      <c r="K675" s="34"/>
      <c r="L675" s="34"/>
      <c r="M675" s="34"/>
      <c r="N675" s="34"/>
      <c r="O675" s="34"/>
    </row>
    <row r="676">
      <c r="A676" s="33"/>
      <c r="B676" s="34"/>
      <c r="C676" s="34"/>
      <c r="D676" s="35"/>
      <c r="E676" s="35"/>
      <c r="F676" s="35"/>
      <c r="G676" s="35"/>
      <c r="H676" s="34"/>
      <c r="I676" s="34"/>
      <c r="J676" s="34"/>
      <c r="K676" s="34"/>
      <c r="L676" s="34"/>
      <c r="M676" s="34"/>
      <c r="N676" s="34"/>
      <c r="O676" s="34"/>
    </row>
    <row r="677">
      <c r="A677" s="33"/>
      <c r="B677" s="34"/>
      <c r="C677" s="34"/>
      <c r="D677" s="35"/>
      <c r="E677" s="35"/>
      <c r="F677" s="35"/>
      <c r="G677" s="35"/>
      <c r="H677" s="34"/>
      <c r="I677" s="34"/>
      <c r="J677" s="34"/>
      <c r="K677" s="34"/>
      <c r="L677" s="34"/>
      <c r="M677" s="34"/>
      <c r="N677" s="34"/>
      <c r="O677" s="34"/>
    </row>
    <row r="678">
      <c r="A678" s="33"/>
      <c r="B678" s="34"/>
      <c r="C678" s="34"/>
      <c r="D678" s="35"/>
      <c r="E678" s="35"/>
      <c r="F678" s="35"/>
      <c r="G678" s="35"/>
      <c r="H678" s="34"/>
      <c r="I678" s="34"/>
      <c r="J678" s="34"/>
      <c r="K678" s="34"/>
      <c r="L678" s="34"/>
      <c r="M678" s="34"/>
      <c r="N678" s="34"/>
      <c r="O678" s="34"/>
    </row>
    <row r="679">
      <c r="A679" s="33"/>
      <c r="B679" s="34"/>
      <c r="C679" s="34"/>
      <c r="D679" s="35"/>
      <c r="E679" s="35"/>
      <c r="F679" s="35"/>
      <c r="G679" s="35"/>
      <c r="H679" s="34"/>
      <c r="I679" s="34"/>
      <c r="J679" s="34"/>
      <c r="K679" s="34"/>
      <c r="L679" s="34"/>
      <c r="M679" s="34"/>
      <c r="N679" s="34"/>
      <c r="O679" s="34"/>
    </row>
    <row r="680">
      <c r="A680" s="33"/>
      <c r="B680" s="34"/>
      <c r="C680" s="34"/>
      <c r="D680" s="35"/>
      <c r="E680" s="35"/>
      <c r="F680" s="35"/>
      <c r="G680" s="35"/>
      <c r="H680" s="34"/>
      <c r="I680" s="34"/>
      <c r="J680" s="34"/>
      <c r="K680" s="34"/>
      <c r="L680" s="34"/>
      <c r="M680" s="34"/>
      <c r="N680" s="34"/>
      <c r="O680" s="34"/>
    </row>
    <row r="681">
      <c r="A681" s="33"/>
      <c r="B681" s="34"/>
      <c r="C681" s="34"/>
      <c r="D681" s="35"/>
      <c r="E681" s="35"/>
      <c r="F681" s="35"/>
      <c r="G681" s="35"/>
      <c r="H681" s="34"/>
      <c r="I681" s="34"/>
      <c r="J681" s="34"/>
      <c r="K681" s="34"/>
      <c r="L681" s="34"/>
      <c r="M681" s="34"/>
      <c r="N681" s="34"/>
      <c r="O681" s="34"/>
    </row>
    <row r="682">
      <c r="A682" s="33"/>
      <c r="B682" s="34"/>
      <c r="C682" s="34"/>
      <c r="D682" s="35"/>
      <c r="E682" s="35"/>
      <c r="F682" s="35"/>
      <c r="G682" s="35"/>
      <c r="H682" s="34"/>
      <c r="I682" s="34"/>
      <c r="J682" s="34"/>
      <c r="K682" s="34"/>
      <c r="L682" s="34"/>
      <c r="M682" s="34"/>
      <c r="N682" s="34"/>
      <c r="O682" s="34"/>
    </row>
    <row r="683">
      <c r="A683" s="33"/>
      <c r="B683" s="34"/>
      <c r="C683" s="34"/>
      <c r="D683" s="35"/>
      <c r="E683" s="35"/>
      <c r="F683" s="35"/>
      <c r="G683" s="35"/>
      <c r="H683" s="34"/>
      <c r="I683" s="34"/>
      <c r="J683" s="34"/>
      <c r="K683" s="34"/>
      <c r="L683" s="34"/>
      <c r="M683" s="34"/>
      <c r="N683" s="34"/>
      <c r="O683" s="34"/>
    </row>
    <row r="684">
      <c r="A684" s="33"/>
      <c r="B684" s="34"/>
      <c r="C684" s="34"/>
      <c r="D684" s="35"/>
      <c r="E684" s="35"/>
      <c r="F684" s="35"/>
      <c r="G684" s="35"/>
      <c r="H684" s="34"/>
      <c r="I684" s="34"/>
      <c r="J684" s="34"/>
      <c r="K684" s="34"/>
      <c r="L684" s="34"/>
      <c r="M684" s="34"/>
      <c r="N684" s="34"/>
      <c r="O684" s="34"/>
    </row>
    <row r="685">
      <c r="A685" s="33"/>
      <c r="B685" s="34"/>
      <c r="C685" s="34"/>
      <c r="D685" s="35"/>
      <c r="E685" s="35"/>
      <c r="F685" s="35"/>
      <c r="G685" s="35"/>
      <c r="H685" s="34"/>
      <c r="I685" s="34"/>
      <c r="J685" s="34"/>
      <c r="K685" s="34"/>
      <c r="L685" s="34"/>
      <c r="M685" s="34"/>
      <c r="N685" s="34"/>
      <c r="O685" s="34"/>
    </row>
    <row r="686">
      <c r="A686" s="33"/>
      <c r="B686" s="34"/>
      <c r="C686" s="34"/>
      <c r="D686" s="35"/>
      <c r="E686" s="35"/>
      <c r="F686" s="35"/>
      <c r="G686" s="35"/>
      <c r="H686" s="34"/>
      <c r="I686" s="34"/>
      <c r="J686" s="34"/>
      <c r="K686" s="34"/>
      <c r="L686" s="34"/>
      <c r="M686" s="34"/>
      <c r="N686" s="34"/>
      <c r="O686" s="34"/>
    </row>
    <row r="687">
      <c r="A687" s="33"/>
      <c r="B687" s="34"/>
      <c r="C687" s="34"/>
      <c r="D687" s="35"/>
      <c r="E687" s="35"/>
      <c r="F687" s="35"/>
      <c r="G687" s="35"/>
      <c r="H687" s="34"/>
      <c r="I687" s="34"/>
      <c r="J687" s="34"/>
      <c r="K687" s="34"/>
      <c r="L687" s="34"/>
      <c r="M687" s="34"/>
      <c r="N687" s="34"/>
      <c r="O687" s="34"/>
    </row>
    <row r="688">
      <c r="A688" s="33"/>
      <c r="B688" s="34"/>
      <c r="C688" s="34"/>
      <c r="D688" s="35"/>
      <c r="E688" s="35"/>
      <c r="F688" s="35"/>
      <c r="G688" s="35"/>
      <c r="H688" s="34"/>
      <c r="I688" s="34"/>
      <c r="J688" s="34"/>
      <c r="K688" s="34"/>
      <c r="L688" s="34"/>
      <c r="M688" s="34"/>
      <c r="N688" s="34"/>
      <c r="O688" s="34"/>
    </row>
    <row r="689">
      <c r="A689" s="33"/>
      <c r="B689" s="34"/>
      <c r="C689" s="34"/>
      <c r="D689" s="35"/>
      <c r="E689" s="35"/>
      <c r="F689" s="35"/>
      <c r="G689" s="35"/>
      <c r="H689" s="34"/>
      <c r="I689" s="34"/>
      <c r="J689" s="34"/>
      <c r="K689" s="34"/>
      <c r="L689" s="34"/>
      <c r="M689" s="34"/>
      <c r="N689" s="34"/>
      <c r="O689" s="34"/>
    </row>
    <row r="690">
      <c r="A690" s="33"/>
      <c r="B690" s="34"/>
      <c r="C690" s="34"/>
      <c r="D690" s="35"/>
      <c r="E690" s="35"/>
      <c r="F690" s="35"/>
      <c r="G690" s="35"/>
      <c r="H690" s="34"/>
      <c r="I690" s="34"/>
      <c r="J690" s="34"/>
      <c r="K690" s="34"/>
      <c r="L690" s="34"/>
      <c r="M690" s="34"/>
      <c r="N690" s="34"/>
      <c r="O690" s="34"/>
    </row>
    <row r="691">
      <c r="A691" s="33"/>
      <c r="B691" s="34"/>
      <c r="C691" s="34"/>
      <c r="D691" s="35"/>
      <c r="E691" s="35"/>
      <c r="F691" s="35"/>
      <c r="G691" s="35"/>
      <c r="H691" s="34"/>
      <c r="I691" s="34"/>
      <c r="J691" s="34"/>
      <c r="K691" s="34"/>
      <c r="L691" s="34"/>
      <c r="M691" s="34"/>
      <c r="N691" s="34"/>
      <c r="O691" s="34"/>
    </row>
    <row r="692">
      <c r="A692" s="33"/>
      <c r="B692" s="34"/>
      <c r="C692" s="34"/>
      <c r="D692" s="35"/>
      <c r="E692" s="35"/>
      <c r="F692" s="35"/>
      <c r="G692" s="35"/>
      <c r="H692" s="34"/>
      <c r="I692" s="34"/>
      <c r="J692" s="34"/>
      <c r="K692" s="34"/>
      <c r="L692" s="34"/>
      <c r="M692" s="34"/>
      <c r="N692" s="34"/>
      <c r="O692" s="34"/>
    </row>
    <row r="693">
      <c r="A693" s="33"/>
      <c r="B693" s="34"/>
      <c r="C693" s="34"/>
      <c r="D693" s="35"/>
      <c r="E693" s="35"/>
      <c r="F693" s="35"/>
      <c r="G693" s="35"/>
      <c r="H693" s="34"/>
      <c r="I693" s="34"/>
      <c r="J693" s="34"/>
      <c r="K693" s="34"/>
      <c r="L693" s="34"/>
      <c r="M693" s="34"/>
      <c r="N693" s="34"/>
      <c r="O693" s="34"/>
    </row>
    <row r="694">
      <c r="A694" s="33"/>
      <c r="B694" s="34"/>
      <c r="C694" s="34"/>
      <c r="D694" s="35"/>
      <c r="E694" s="35"/>
      <c r="F694" s="35"/>
      <c r="G694" s="35"/>
      <c r="H694" s="34"/>
      <c r="I694" s="34"/>
      <c r="J694" s="34"/>
      <c r="K694" s="34"/>
      <c r="L694" s="34"/>
      <c r="M694" s="34"/>
      <c r="N694" s="34"/>
      <c r="O694" s="34"/>
    </row>
    <row r="695">
      <c r="A695" s="33"/>
      <c r="B695" s="34"/>
      <c r="C695" s="34"/>
      <c r="D695" s="35"/>
      <c r="E695" s="35"/>
      <c r="F695" s="35"/>
      <c r="G695" s="35"/>
      <c r="H695" s="34"/>
      <c r="I695" s="34"/>
      <c r="J695" s="34"/>
      <c r="K695" s="34"/>
      <c r="L695" s="34"/>
      <c r="M695" s="34"/>
      <c r="N695" s="34"/>
      <c r="O695" s="34"/>
    </row>
    <row r="696">
      <c r="A696" s="33"/>
      <c r="B696" s="34"/>
      <c r="C696" s="34"/>
      <c r="D696" s="35"/>
      <c r="E696" s="35"/>
      <c r="F696" s="35"/>
      <c r="G696" s="35"/>
      <c r="H696" s="34"/>
      <c r="I696" s="34"/>
      <c r="J696" s="34"/>
      <c r="K696" s="34"/>
      <c r="L696" s="34"/>
      <c r="M696" s="34"/>
      <c r="N696" s="34"/>
      <c r="O696" s="34"/>
    </row>
    <row r="697">
      <c r="A697" s="33"/>
      <c r="B697" s="34"/>
      <c r="C697" s="34"/>
      <c r="D697" s="35"/>
      <c r="E697" s="35"/>
      <c r="F697" s="35"/>
      <c r="G697" s="35"/>
      <c r="H697" s="34"/>
      <c r="I697" s="34"/>
      <c r="J697" s="34"/>
      <c r="K697" s="34"/>
      <c r="L697" s="34"/>
      <c r="M697" s="34"/>
      <c r="N697" s="34"/>
      <c r="O697" s="34"/>
    </row>
    <row r="698">
      <c r="A698" s="33"/>
      <c r="B698" s="34"/>
      <c r="C698" s="34"/>
      <c r="D698" s="35"/>
      <c r="E698" s="35"/>
      <c r="F698" s="35"/>
      <c r="G698" s="35"/>
      <c r="H698" s="34"/>
      <c r="I698" s="34"/>
      <c r="J698" s="34"/>
      <c r="K698" s="34"/>
      <c r="L698" s="34"/>
      <c r="M698" s="34"/>
      <c r="N698" s="34"/>
      <c r="O698" s="34"/>
    </row>
    <row r="699">
      <c r="A699" s="33"/>
      <c r="B699" s="34"/>
      <c r="C699" s="34"/>
      <c r="D699" s="35"/>
      <c r="E699" s="35"/>
      <c r="F699" s="35"/>
      <c r="G699" s="35"/>
      <c r="H699" s="34"/>
      <c r="I699" s="34"/>
      <c r="J699" s="34"/>
      <c r="K699" s="34"/>
      <c r="L699" s="34"/>
      <c r="M699" s="34"/>
      <c r="N699" s="34"/>
      <c r="O699" s="34"/>
    </row>
    <row r="700">
      <c r="A700" s="33"/>
      <c r="B700" s="34"/>
      <c r="C700" s="34"/>
      <c r="D700" s="35"/>
      <c r="E700" s="35"/>
      <c r="F700" s="35"/>
      <c r="G700" s="35"/>
      <c r="H700" s="34"/>
      <c r="I700" s="34"/>
      <c r="J700" s="34"/>
      <c r="K700" s="34"/>
      <c r="L700" s="34"/>
      <c r="M700" s="34"/>
      <c r="N700" s="34"/>
      <c r="O700" s="34"/>
    </row>
    <row r="701">
      <c r="A701" s="33"/>
      <c r="B701" s="34"/>
      <c r="C701" s="34"/>
      <c r="D701" s="35"/>
      <c r="E701" s="35"/>
      <c r="F701" s="35"/>
      <c r="G701" s="35"/>
      <c r="H701" s="34"/>
      <c r="I701" s="34"/>
      <c r="J701" s="34"/>
      <c r="K701" s="34"/>
      <c r="L701" s="34"/>
      <c r="M701" s="34"/>
      <c r="N701" s="34"/>
      <c r="O701" s="34"/>
    </row>
    <row r="702">
      <c r="A702" s="33"/>
      <c r="B702" s="34"/>
      <c r="C702" s="34"/>
      <c r="D702" s="35"/>
      <c r="E702" s="35"/>
      <c r="F702" s="35"/>
      <c r="G702" s="35"/>
      <c r="H702" s="34"/>
      <c r="I702" s="34"/>
      <c r="J702" s="34"/>
      <c r="K702" s="34"/>
      <c r="L702" s="34"/>
      <c r="M702" s="34"/>
      <c r="N702" s="34"/>
      <c r="O702" s="34"/>
    </row>
    <row r="703">
      <c r="A703" s="33"/>
      <c r="B703" s="34"/>
      <c r="C703" s="34"/>
      <c r="D703" s="35"/>
      <c r="E703" s="35"/>
      <c r="F703" s="35"/>
      <c r="G703" s="35"/>
      <c r="H703" s="34"/>
      <c r="I703" s="34"/>
      <c r="J703" s="34"/>
      <c r="K703" s="34"/>
      <c r="L703" s="34"/>
      <c r="M703" s="34"/>
      <c r="N703" s="34"/>
      <c r="O703" s="34"/>
    </row>
    <row r="704">
      <c r="A704" s="33"/>
      <c r="B704" s="34"/>
      <c r="C704" s="34"/>
      <c r="D704" s="35"/>
      <c r="E704" s="35"/>
      <c r="F704" s="35"/>
      <c r="G704" s="35"/>
      <c r="H704" s="34"/>
      <c r="I704" s="34"/>
      <c r="J704" s="34"/>
      <c r="K704" s="34"/>
      <c r="L704" s="34"/>
      <c r="M704" s="34"/>
      <c r="N704" s="34"/>
      <c r="O704" s="34"/>
    </row>
    <row r="705">
      <c r="A705" s="33"/>
      <c r="B705" s="34"/>
      <c r="C705" s="34"/>
      <c r="D705" s="35"/>
      <c r="E705" s="35"/>
      <c r="F705" s="35"/>
      <c r="G705" s="35"/>
      <c r="H705" s="34"/>
      <c r="I705" s="34"/>
      <c r="J705" s="34"/>
      <c r="K705" s="34"/>
      <c r="L705" s="34"/>
      <c r="M705" s="34"/>
      <c r="N705" s="34"/>
      <c r="O705" s="34"/>
    </row>
    <row r="706">
      <c r="A706" s="33"/>
      <c r="B706" s="34"/>
      <c r="C706" s="34"/>
      <c r="D706" s="35"/>
      <c r="E706" s="35"/>
      <c r="F706" s="35"/>
      <c r="G706" s="35"/>
      <c r="H706" s="34"/>
      <c r="I706" s="34"/>
      <c r="J706" s="34"/>
      <c r="K706" s="34"/>
      <c r="L706" s="34"/>
      <c r="M706" s="34"/>
      <c r="N706" s="34"/>
      <c r="O706" s="34"/>
    </row>
    <row r="707">
      <c r="A707" s="33"/>
      <c r="B707" s="34"/>
      <c r="C707" s="34"/>
      <c r="D707" s="35"/>
      <c r="E707" s="35"/>
      <c r="F707" s="35"/>
      <c r="G707" s="35"/>
      <c r="H707" s="34"/>
      <c r="I707" s="34"/>
      <c r="J707" s="34"/>
      <c r="K707" s="34"/>
      <c r="L707" s="34"/>
      <c r="M707" s="34"/>
      <c r="N707" s="34"/>
      <c r="O707" s="34"/>
    </row>
    <row r="708">
      <c r="A708" s="33"/>
      <c r="B708" s="34"/>
      <c r="C708" s="34"/>
      <c r="D708" s="35"/>
      <c r="E708" s="35"/>
      <c r="F708" s="35"/>
      <c r="G708" s="35"/>
      <c r="H708" s="34"/>
      <c r="I708" s="34"/>
      <c r="J708" s="34"/>
      <c r="K708" s="34"/>
      <c r="L708" s="34"/>
      <c r="M708" s="34"/>
      <c r="N708" s="34"/>
      <c r="O708" s="34"/>
    </row>
    <row r="709">
      <c r="A709" s="33"/>
      <c r="B709" s="34"/>
      <c r="C709" s="34"/>
      <c r="D709" s="35"/>
      <c r="E709" s="35"/>
      <c r="F709" s="35"/>
      <c r="G709" s="35"/>
      <c r="H709" s="34"/>
      <c r="I709" s="34"/>
      <c r="J709" s="34"/>
      <c r="K709" s="34"/>
      <c r="L709" s="34"/>
      <c r="M709" s="34"/>
      <c r="N709" s="34"/>
      <c r="O709" s="34"/>
    </row>
    <row r="710">
      <c r="A710" s="33"/>
      <c r="B710" s="34"/>
      <c r="C710" s="34"/>
      <c r="D710" s="35"/>
      <c r="E710" s="35"/>
      <c r="F710" s="35"/>
      <c r="G710" s="35"/>
      <c r="H710" s="34"/>
      <c r="I710" s="34"/>
      <c r="J710" s="34"/>
      <c r="K710" s="34"/>
      <c r="L710" s="34"/>
      <c r="M710" s="34"/>
      <c r="N710" s="34"/>
      <c r="O710" s="34"/>
    </row>
    <row r="711">
      <c r="A711" s="33"/>
      <c r="B711" s="34"/>
      <c r="C711" s="34"/>
      <c r="D711" s="35"/>
      <c r="E711" s="35"/>
      <c r="F711" s="35"/>
      <c r="G711" s="35"/>
      <c r="H711" s="34"/>
      <c r="I711" s="34"/>
      <c r="J711" s="34"/>
      <c r="K711" s="34"/>
      <c r="L711" s="34"/>
      <c r="M711" s="34"/>
      <c r="N711" s="34"/>
      <c r="O711" s="34"/>
    </row>
    <row r="712">
      <c r="A712" s="33"/>
      <c r="B712" s="34"/>
      <c r="C712" s="34"/>
      <c r="D712" s="35"/>
      <c r="E712" s="35"/>
      <c r="F712" s="35"/>
      <c r="G712" s="35"/>
      <c r="H712" s="34"/>
      <c r="I712" s="34"/>
      <c r="J712" s="34"/>
      <c r="K712" s="34"/>
      <c r="L712" s="34"/>
      <c r="M712" s="34"/>
      <c r="N712" s="34"/>
      <c r="O712" s="34"/>
    </row>
    <row r="713">
      <c r="A713" s="33"/>
      <c r="B713" s="34"/>
      <c r="C713" s="34"/>
      <c r="D713" s="35"/>
      <c r="E713" s="35"/>
      <c r="F713" s="35"/>
      <c r="G713" s="35"/>
      <c r="H713" s="34"/>
      <c r="I713" s="34"/>
      <c r="J713" s="34"/>
      <c r="K713" s="34"/>
      <c r="L713" s="34"/>
      <c r="M713" s="34"/>
      <c r="N713" s="34"/>
      <c r="O713" s="34"/>
    </row>
    <row r="714">
      <c r="A714" s="33"/>
      <c r="B714" s="34"/>
      <c r="C714" s="34"/>
      <c r="D714" s="35"/>
      <c r="E714" s="35"/>
      <c r="F714" s="35"/>
      <c r="G714" s="35"/>
      <c r="H714" s="34"/>
      <c r="I714" s="34"/>
      <c r="J714" s="34"/>
      <c r="K714" s="34"/>
      <c r="L714" s="34"/>
      <c r="M714" s="34"/>
      <c r="N714" s="34"/>
      <c r="O714" s="34"/>
    </row>
    <row r="715">
      <c r="A715" s="33"/>
      <c r="B715" s="34"/>
      <c r="C715" s="34"/>
      <c r="D715" s="35"/>
      <c r="E715" s="35"/>
      <c r="F715" s="35"/>
      <c r="G715" s="35"/>
      <c r="H715" s="34"/>
      <c r="I715" s="34"/>
      <c r="J715" s="34"/>
      <c r="K715" s="34"/>
      <c r="L715" s="34"/>
      <c r="M715" s="34"/>
      <c r="N715" s="34"/>
      <c r="O715" s="34"/>
    </row>
    <row r="716">
      <c r="A716" s="33"/>
      <c r="B716" s="34"/>
      <c r="C716" s="34"/>
      <c r="D716" s="35"/>
      <c r="E716" s="35"/>
      <c r="F716" s="35"/>
      <c r="G716" s="35"/>
      <c r="H716" s="34"/>
      <c r="I716" s="34"/>
      <c r="J716" s="34"/>
      <c r="K716" s="34"/>
      <c r="L716" s="34"/>
      <c r="M716" s="34"/>
      <c r="N716" s="34"/>
      <c r="O716" s="34"/>
    </row>
    <row r="717">
      <c r="A717" s="33"/>
      <c r="B717" s="34"/>
      <c r="C717" s="34"/>
      <c r="D717" s="35"/>
      <c r="E717" s="35"/>
      <c r="F717" s="35"/>
      <c r="G717" s="35"/>
      <c r="H717" s="34"/>
      <c r="I717" s="34"/>
      <c r="J717" s="34"/>
      <c r="K717" s="34"/>
      <c r="L717" s="34"/>
      <c r="M717" s="34"/>
      <c r="N717" s="34"/>
      <c r="O717" s="34"/>
    </row>
    <row r="718">
      <c r="A718" s="33"/>
      <c r="B718" s="34"/>
      <c r="C718" s="34"/>
      <c r="D718" s="35"/>
      <c r="E718" s="35"/>
      <c r="F718" s="35"/>
      <c r="G718" s="35"/>
      <c r="H718" s="34"/>
      <c r="I718" s="34"/>
      <c r="J718" s="34"/>
      <c r="K718" s="34"/>
      <c r="L718" s="34"/>
      <c r="M718" s="34"/>
      <c r="N718" s="34"/>
      <c r="O718" s="34"/>
    </row>
    <row r="719">
      <c r="A719" s="33"/>
      <c r="B719" s="34"/>
      <c r="C719" s="34"/>
      <c r="D719" s="35"/>
      <c r="E719" s="35"/>
      <c r="F719" s="35"/>
      <c r="G719" s="35"/>
      <c r="H719" s="34"/>
      <c r="I719" s="34"/>
      <c r="J719" s="34"/>
      <c r="K719" s="34"/>
      <c r="L719" s="34"/>
      <c r="M719" s="34"/>
      <c r="N719" s="34"/>
      <c r="O719" s="34"/>
    </row>
    <row r="720">
      <c r="A720" s="33"/>
      <c r="B720" s="34"/>
      <c r="C720" s="34"/>
      <c r="D720" s="35"/>
      <c r="E720" s="35"/>
      <c r="F720" s="35"/>
      <c r="G720" s="35"/>
      <c r="H720" s="34"/>
      <c r="I720" s="34"/>
      <c r="J720" s="34"/>
      <c r="K720" s="34"/>
      <c r="L720" s="34"/>
      <c r="M720" s="34"/>
      <c r="N720" s="34"/>
      <c r="O720" s="34"/>
    </row>
    <row r="721">
      <c r="A721" s="33"/>
      <c r="B721" s="34"/>
      <c r="C721" s="34"/>
      <c r="D721" s="35"/>
      <c r="E721" s="35"/>
      <c r="F721" s="35"/>
      <c r="G721" s="35"/>
      <c r="H721" s="34"/>
      <c r="I721" s="34"/>
      <c r="J721" s="34"/>
      <c r="K721" s="34"/>
      <c r="L721" s="34"/>
      <c r="M721" s="34"/>
      <c r="N721" s="34"/>
      <c r="O721" s="34"/>
    </row>
    <row r="722">
      <c r="A722" s="33"/>
      <c r="B722" s="34"/>
      <c r="C722" s="34"/>
      <c r="D722" s="35"/>
      <c r="E722" s="35"/>
      <c r="F722" s="35"/>
      <c r="G722" s="35"/>
      <c r="H722" s="34"/>
      <c r="I722" s="34"/>
      <c r="J722" s="34"/>
      <c r="K722" s="34"/>
      <c r="L722" s="34"/>
      <c r="M722" s="34"/>
      <c r="N722" s="34"/>
      <c r="O722" s="34"/>
    </row>
    <row r="723">
      <c r="A723" s="33"/>
      <c r="B723" s="34"/>
      <c r="C723" s="34"/>
      <c r="D723" s="35"/>
      <c r="E723" s="35"/>
      <c r="F723" s="35"/>
      <c r="G723" s="35"/>
      <c r="H723" s="34"/>
      <c r="I723" s="34"/>
      <c r="J723" s="34"/>
      <c r="K723" s="34"/>
      <c r="L723" s="34"/>
      <c r="M723" s="34"/>
      <c r="N723" s="34"/>
      <c r="O723" s="34"/>
    </row>
    <row r="724">
      <c r="A724" s="33"/>
      <c r="B724" s="34"/>
      <c r="C724" s="34"/>
      <c r="D724" s="35"/>
      <c r="E724" s="35"/>
      <c r="F724" s="35"/>
      <c r="G724" s="35"/>
      <c r="H724" s="34"/>
      <c r="I724" s="34"/>
      <c r="J724" s="34"/>
      <c r="K724" s="34"/>
      <c r="L724" s="34"/>
      <c r="M724" s="34"/>
      <c r="N724" s="34"/>
      <c r="O724" s="34"/>
    </row>
    <row r="725">
      <c r="A725" s="33"/>
      <c r="B725" s="34"/>
      <c r="C725" s="34"/>
      <c r="D725" s="35"/>
      <c r="E725" s="35"/>
      <c r="F725" s="35"/>
      <c r="G725" s="35"/>
      <c r="H725" s="34"/>
      <c r="I725" s="34"/>
      <c r="J725" s="34"/>
      <c r="K725" s="34"/>
      <c r="L725" s="34"/>
      <c r="M725" s="34"/>
      <c r="N725" s="34"/>
      <c r="O725" s="34"/>
    </row>
    <row r="726">
      <c r="A726" s="33"/>
      <c r="B726" s="34"/>
      <c r="C726" s="34"/>
      <c r="D726" s="35"/>
      <c r="E726" s="35"/>
      <c r="F726" s="35"/>
      <c r="G726" s="35"/>
      <c r="H726" s="34"/>
      <c r="I726" s="34"/>
      <c r="J726" s="34"/>
      <c r="K726" s="34"/>
      <c r="L726" s="34"/>
      <c r="M726" s="34"/>
      <c r="N726" s="34"/>
      <c r="O726" s="34"/>
    </row>
    <row r="727">
      <c r="A727" s="33"/>
      <c r="B727" s="34"/>
      <c r="C727" s="34"/>
      <c r="D727" s="35"/>
      <c r="E727" s="35"/>
      <c r="F727" s="35"/>
      <c r="G727" s="35"/>
      <c r="H727" s="34"/>
      <c r="I727" s="34"/>
      <c r="J727" s="34"/>
      <c r="K727" s="34"/>
      <c r="L727" s="34"/>
      <c r="M727" s="34"/>
      <c r="N727" s="34"/>
      <c r="O727" s="34"/>
    </row>
    <row r="728">
      <c r="A728" s="33"/>
      <c r="B728" s="34"/>
      <c r="C728" s="34"/>
      <c r="D728" s="35"/>
      <c r="E728" s="35"/>
      <c r="F728" s="35"/>
      <c r="G728" s="35"/>
      <c r="H728" s="34"/>
      <c r="I728" s="34"/>
      <c r="J728" s="34"/>
      <c r="K728" s="34"/>
      <c r="L728" s="34"/>
      <c r="M728" s="34"/>
      <c r="N728" s="34"/>
      <c r="O728" s="34"/>
    </row>
    <row r="729">
      <c r="A729" s="33"/>
      <c r="B729" s="34"/>
      <c r="C729" s="34"/>
      <c r="D729" s="35"/>
      <c r="E729" s="35"/>
      <c r="F729" s="35"/>
      <c r="G729" s="35"/>
      <c r="H729" s="34"/>
      <c r="I729" s="34"/>
      <c r="J729" s="34"/>
      <c r="K729" s="34"/>
      <c r="L729" s="34"/>
      <c r="M729" s="34"/>
      <c r="N729" s="34"/>
      <c r="O729" s="34"/>
    </row>
    <row r="730">
      <c r="A730" s="33"/>
      <c r="B730" s="34"/>
      <c r="C730" s="34"/>
      <c r="D730" s="35"/>
      <c r="E730" s="35"/>
      <c r="F730" s="35"/>
      <c r="G730" s="35"/>
      <c r="H730" s="34"/>
      <c r="I730" s="34"/>
      <c r="J730" s="34"/>
      <c r="K730" s="34"/>
      <c r="L730" s="34"/>
      <c r="M730" s="34"/>
      <c r="N730" s="34"/>
      <c r="O730" s="34"/>
    </row>
    <row r="731">
      <c r="A731" s="33"/>
      <c r="B731" s="34"/>
      <c r="C731" s="34"/>
      <c r="D731" s="35"/>
      <c r="E731" s="35"/>
      <c r="F731" s="35"/>
      <c r="G731" s="35"/>
      <c r="H731" s="34"/>
      <c r="I731" s="34"/>
      <c r="J731" s="34"/>
      <c r="K731" s="34"/>
      <c r="L731" s="34"/>
      <c r="M731" s="34"/>
      <c r="N731" s="34"/>
      <c r="O731" s="34"/>
    </row>
    <row r="732">
      <c r="A732" s="33"/>
      <c r="B732" s="34"/>
      <c r="C732" s="34"/>
      <c r="D732" s="35"/>
      <c r="E732" s="35"/>
      <c r="F732" s="35"/>
      <c r="G732" s="35"/>
      <c r="H732" s="34"/>
      <c r="I732" s="34"/>
      <c r="J732" s="34"/>
      <c r="K732" s="34"/>
      <c r="L732" s="34"/>
      <c r="M732" s="34"/>
      <c r="N732" s="34"/>
      <c r="O732" s="34"/>
    </row>
    <row r="733">
      <c r="A733" s="33"/>
      <c r="B733" s="34"/>
      <c r="C733" s="34"/>
      <c r="D733" s="35"/>
      <c r="E733" s="35"/>
      <c r="F733" s="35"/>
      <c r="G733" s="35"/>
      <c r="H733" s="34"/>
      <c r="I733" s="34"/>
      <c r="J733" s="34"/>
      <c r="K733" s="34"/>
      <c r="L733" s="34"/>
      <c r="M733" s="34"/>
      <c r="N733" s="34"/>
      <c r="O733" s="34"/>
    </row>
    <row r="734">
      <c r="A734" s="33"/>
      <c r="B734" s="34"/>
      <c r="C734" s="34"/>
      <c r="D734" s="35"/>
      <c r="E734" s="35"/>
      <c r="F734" s="35"/>
      <c r="G734" s="35"/>
      <c r="H734" s="34"/>
      <c r="I734" s="34"/>
      <c r="J734" s="34"/>
      <c r="K734" s="34"/>
      <c r="L734" s="34"/>
      <c r="M734" s="34"/>
      <c r="N734" s="34"/>
      <c r="O734" s="34"/>
    </row>
    <row r="735">
      <c r="A735" s="33"/>
      <c r="B735" s="34"/>
      <c r="C735" s="34"/>
      <c r="D735" s="35"/>
      <c r="E735" s="35"/>
      <c r="F735" s="35"/>
      <c r="G735" s="35"/>
      <c r="H735" s="34"/>
      <c r="I735" s="34"/>
      <c r="J735" s="34"/>
      <c r="K735" s="34"/>
      <c r="L735" s="34"/>
      <c r="M735" s="34"/>
      <c r="N735" s="34"/>
      <c r="O735" s="34"/>
    </row>
    <row r="736">
      <c r="A736" s="33"/>
      <c r="B736" s="34"/>
      <c r="C736" s="34"/>
      <c r="D736" s="35"/>
      <c r="E736" s="35"/>
      <c r="F736" s="35"/>
      <c r="G736" s="35"/>
      <c r="H736" s="34"/>
      <c r="I736" s="34"/>
      <c r="J736" s="34"/>
      <c r="K736" s="34"/>
      <c r="L736" s="34"/>
      <c r="M736" s="34"/>
      <c r="N736" s="34"/>
      <c r="O736" s="34"/>
    </row>
    <row r="737">
      <c r="A737" s="33"/>
      <c r="B737" s="34"/>
      <c r="C737" s="34"/>
      <c r="D737" s="35"/>
      <c r="E737" s="35"/>
      <c r="F737" s="35"/>
      <c r="G737" s="35"/>
      <c r="H737" s="34"/>
      <c r="I737" s="34"/>
      <c r="J737" s="34"/>
      <c r="K737" s="34"/>
      <c r="L737" s="34"/>
      <c r="M737" s="34"/>
      <c r="N737" s="34"/>
      <c r="O737" s="34"/>
    </row>
    <row r="738">
      <c r="A738" s="33"/>
      <c r="B738" s="34"/>
      <c r="C738" s="34"/>
      <c r="D738" s="35"/>
      <c r="E738" s="35"/>
      <c r="F738" s="35"/>
      <c r="G738" s="35"/>
      <c r="H738" s="34"/>
      <c r="I738" s="34"/>
      <c r="J738" s="34"/>
      <c r="K738" s="34"/>
      <c r="L738" s="34"/>
      <c r="M738" s="34"/>
      <c r="N738" s="34"/>
      <c r="O738" s="34"/>
    </row>
    <row r="739">
      <c r="A739" s="33"/>
      <c r="B739" s="34"/>
      <c r="C739" s="34"/>
      <c r="D739" s="35"/>
      <c r="E739" s="35"/>
      <c r="F739" s="35"/>
      <c r="G739" s="35"/>
      <c r="H739" s="34"/>
      <c r="I739" s="34"/>
      <c r="J739" s="34"/>
      <c r="K739" s="34"/>
      <c r="L739" s="34"/>
      <c r="M739" s="34"/>
      <c r="N739" s="34"/>
      <c r="O739" s="34"/>
    </row>
    <row r="740">
      <c r="A740" s="33"/>
      <c r="B740" s="34"/>
      <c r="C740" s="34"/>
      <c r="D740" s="35"/>
      <c r="E740" s="35"/>
      <c r="F740" s="35"/>
      <c r="G740" s="35"/>
      <c r="H740" s="34"/>
      <c r="I740" s="34"/>
      <c r="J740" s="34"/>
      <c r="K740" s="34"/>
      <c r="L740" s="34"/>
      <c r="M740" s="34"/>
      <c r="N740" s="34"/>
      <c r="O740" s="34"/>
    </row>
    <row r="741">
      <c r="A741" s="33"/>
      <c r="B741" s="34"/>
      <c r="C741" s="34"/>
      <c r="D741" s="35"/>
      <c r="E741" s="35"/>
      <c r="F741" s="35"/>
      <c r="G741" s="35"/>
      <c r="H741" s="34"/>
      <c r="I741" s="34"/>
      <c r="J741" s="34"/>
      <c r="K741" s="34"/>
      <c r="L741" s="34"/>
      <c r="M741" s="34"/>
      <c r="N741" s="34"/>
      <c r="O741" s="34"/>
    </row>
    <row r="742">
      <c r="A742" s="33"/>
      <c r="B742" s="34"/>
      <c r="C742" s="34"/>
      <c r="D742" s="35"/>
      <c r="E742" s="35"/>
      <c r="F742" s="35"/>
      <c r="G742" s="35"/>
      <c r="H742" s="34"/>
      <c r="I742" s="34"/>
      <c r="J742" s="34"/>
      <c r="K742" s="34"/>
      <c r="L742" s="34"/>
      <c r="M742" s="34"/>
      <c r="N742" s="34"/>
      <c r="O742" s="34"/>
    </row>
    <row r="743">
      <c r="A743" s="33"/>
      <c r="B743" s="34"/>
      <c r="C743" s="34"/>
      <c r="D743" s="35"/>
      <c r="E743" s="35"/>
      <c r="F743" s="35"/>
      <c r="G743" s="35"/>
      <c r="H743" s="34"/>
      <c r="I743" s="34"/>
      <c r="J743" s="34"/>
      <c r="K743" s="34"/>
      <c r="L743" s="34"/>
      <c r="M743" s="34"/>
      <c r="N743" s="34"/>
      <c r="O743" s="34"/>
    </row>
    <row r="744">
      <c r="A744" s="33"/>
      <c r="B744" s="34"/>
      <c r="C744" s="34"/>
      <c r="D744" s="35"/>
      <c r="E744" s="35"/>
      <c r="F744" s="35"/>
      <c r="G744" s="35"/>
      <c r="H744" s="34"/>
      <c r="I744" s="34"/>
      <c r="J744" s="34"/>
      <c r="K744" s="34"/>
      <c r="L744" s="34"/>
      <c r="M744" s="34"/>
      <c r="N744" s="34"/>
      <c r="O744" s="34"/>
    </row>
    <row r="745">
      <c r="A745" s="33"/>
      <c r="B745" s="34"/>
      <c r="C745" s="34"/>
      <c r="D745" s="35"/>
      <c r="E745" s="35"/>
      <c r="F745" s="35"/>
      <c r="G745" s="35"/>
      <c r="H745" s="34"/>
      <c r="I745" s="34"/>
      <c r="J745" s="34"/>
      <c r="K745" s="34"/>
      <c r="L745" s="34"/>
      <c r="M745" s="34"/>
      <c r="N745" s="34"/>
      <c r="O745" s="34"/>
    </row>
    <row r="746">
      <c r="A746" s="33"/>
      <c r="B746" s="34"/>
      <c r="C746" s="34"/>
      <c r="D746" s="35"/>
      <c r="E746" s="35"/>
      <c r="F746" s="35"/>
      <c r="G746" s="35"/>
      <c r="H746" s="34"/>
      <c r="I746" s="34"/>
      <c r="J746" s="34"/>
      <c r="K746" s="34"/>
      <c r="L746" s="34"/>
      <c r="M746" s="34"/>
      <c r="N746" s="34"/>
      <c r="O746" s="34"/>
    </row>
    <row r="747">
      <c r="A747" s="33"/>
      <c r="B747" s="34"/>
      <c r="C747" s="34"/>
      <c r="D747" s="35"/>
      <c r="E747" s="35"/>
      <c r="F747" s="35"/>
      <c r="G747" s="35"/>
      <c r="H747" s="34"/>
      <c r="I747" s="34"/>
      <c r="J747" s="34"/>
      <c r="K747" s="34"/>
      <c r="L747" s="34"/>
      <c r="M747" s="34"/>
      <c r="N747" s="34"/>
      <c r="O747" s="34"/>
    </row>
    <row r="748">
      <c r="A748" s="33"/>
      <c r="B748" s="34"/>
      <c r="C748" s="34"/>
      <c r="D748" s="35"/>
      <c r="E748" s="35"/>
      <c r="F748" s="35"/>
      <c r="G748" s="35"/>
      <c r="H748" s="34"/>
      <c r="I748" s="34"/>
      <c r="J748" s="34"/>
      <c r="K748" s="34"/>
      <c r="L748" s="34"/>
      <c r="M748" s="34"/>
      <c r="N748" s="34"/>
      <c r="O748" s="34"/>
    </row>
    <row r="749">
      <c r="A749" s="33"/>
      <c r="B749" s="34"/>
      <c r="C749" s="34"/>
      <c r="D749" s="35"/>
      <c r="E749" s="35"/>
      <c r="F749" s="35"/>
      <c r="G749" s="35"/>
      <c r="H749" s="34"/>
      <c r="I749" s="34"/>
      <c r="J749" s="34"/>
      <c r="K749" s="34"/>
      <c r="L749" s="34"/>
      <c r="M749" s="34"/>
      <c r="N749" s="34"/>
      <c r="O749" s="34"/>
    </row>
    <row r="750">
      <c r="A750" s="33"/>
      <c r="B750" s="34"/>
      <c r="C750" s="34"/>
      <c r="D750" s="35"/>
      <c r="E750" s="35"/>
      <c r="F750" s="35"/>
      <c r="G750" s="35"/>
      <c r="H750" s="34"/>
      <c r="I750" s="34"/>
      <c r="J750" s="34"/>
      <c r="K750" s="34"/>
      <c r="L750" s="34"/>
      <c r="M750" s="34"/>
      <c r="N750" s="34"/>
      <c r="O750" s="34"/>
    </row>
    <row r="751">
      <c r="A751" s="33"/>
      <c r="B751" s="34"/>
      <c r="C751" s="34"/>
      <c r="D751" s="35"/>
      <c r="E751" s="35"/>
      <c r="F751" s="35"/>
      <c r="G751" s="35"/>
      <c r="H751" s="34"/>
      <c r="I751" s="34"/>
      <c r="J751" s="34"/>
      <c r="K751" s="34"/>
      <c r="L751" s="34"/>
      <c r="M751" s="34"/>
      <c r="N751" s="34"/>
      <c r="O751" s="34"/>
    </row>
    <row r="752">
      <c r="A752" s="33"/>
      <c r="B752" s="34"/>
      <c r="C752" s="34"/>
      <c r="D752" s="35"/>
      <c r="E752" s="35"/>
      <c r="F752" s="35"/>
      <c r="G752" s="35"/>
      <c r="H752" s="34"/>
      <c r="I752" s="34"/>
      <c r="J752" s="34"/>
      <c r="K752" s="34"/>
      <c r="L752" s="34"/>
      <c r="M752" s="34"/>
      <c r="N752" s="34"/>
      <c r="O752" s="34"/>
    </row>
    <row r="753">
      <c r="A753" s="33"/>
      <c r="B753" s="34"/>
      <c r="C753" s="34"/>
      <c r="D753" s="35"/>
      <c r="E753" s="35"/>
      <c r="F753" s="35"/>
      <c r="G753" s="35"/>
      <c r="H753" s="34"/>
      <c r="I753" s="34"/>
      <c r="J753" s="34"/>
      <c r="K753" s="34"/>
      <c r="L753" s="34"/>
      <c r="M753" s="34"/>
      <c r="N753" s="34"/>
      <c r="O753" s="34"/>
    </row>
    <row r="754">
      <c r="A754" s="33"/>
      <c r="B754" s="34"/>
      <c r="C754" s="34"/>
      <c r="D754" s="35"/>
      <c r="E754" s="35"/>
      <c r="F754" s="35"/>
      <c r="G754" s="35"/>
      <c r="H754" s="34"/>
      <c r="I754" s="34"/>
      <c r="J754" s="34"/>
      <c r="K754" s="34"/>
      <c r="L754" s="34"/>
      <c r="M754" s="34"/>
      <c r="N754" s="34"/>
      <c r="O754" s="34"/>
    </row>
    <row r="755">
      <c r="A755" s="33"/>
      <c r="B755" s="34"/>
      <c r="C755" s="34"/>
      <c r="D755" s="35"/>
      <c r="E755" s="35"/>
      <c r="F755" s="35"/>
      <c r="G755" s="35"/>
      <c r="H755" s="34"/>
      <c r="I755" s="34"/>
      <c r="J755" s="34"/>
      <c r="K755" s="34"/>
      <c r="L755" s="34"/>
      <c r="M755" s="34"/>
      <c r="N755" s="34"/>
      <c r="O755" s="34"/>
    </row>
    <row r="756">
      <c r="A756" s="33"/>
      <c r="B756" s="34"/>
      <c r="C756" s="34"/>
      <c r="D756" s="35"/>
      <c r="E756" s="35"/>
      <c r="F756" s="35"/>
      <c r="G756" s="35"/>
      <c r="H756" s="34"/>
      <c r="I756" s="34"/>
      <c r="J756" s="34"/>
      <c r="K756" s="34"/>
      <c r="L756" s="34"/>
      <c r="M756" s="34"/>
      <c r="N756" s="34"/>
      <c r="O756" s="34"/>
    </row>
    <row r="757">
      <c r="A757" s="33"/>
      <c r="B757" s="34"/>
      <c r="C757" s="34"/>
      <c r="D757" s="35"/>
      <c r="E757" s="35"/>
      <c r="F757" s="35"/>
      <c r="G757" s="35"/>
      <c r="H757" s="34"/>
      <c r="I757" s="34"/>
      <c r="J757" s="34"/>
      <c r="K757" s="34"/>
      <c r="L757" s="34"/>
      <c r="M757" s="34"/>
      <c r="N757" s="34"/>
      <c r="O757" s="34"/>
    </row>
    <row r="758">
      <c r="A758" s="33"/>
      <c r="B758" s="34"/>
      <c r="C758" s="34"/>
      <c r="D758" s="35"/>
      <c r="E758" s="35"/>
      <c r="F758" s="35"/>
      <c r="G758" s="35"/>
      <c r="H758" s="34"/>
      <c r="I758" s="34"/>
      <c r="J758" s="34"/>
      <c r="K758" s="34"/>
      <c r="L758" s="34"/>
      <c r="M758" s="34"/>
      <c r="N758" s="34"/>
      <c r="O758" s="34"/>
    </row>
    <row r="759">
      <c r="A759" s="33"/>
      <c r="B759" s="34"/>
      <c r="C759" s="34"/>
      <c r="D759" s="35"/>
      <c r="E759" s="35"/>
      <c r="F759" s="35"/>
      <c r="G759" s="35"/>
      <c r="H759" s="34"/>
      <c r="I759" s="34"/>
      <c r="J759" s="34"/>
      <c r="K759" s="34"/>
      <c r="L759" s="34"/>
      <c r="M759" s="34"/>
      <c r="N759" s="34"/>
      <c r="O759" s="34"/>
    </row>
    <row r="760">
      <c r="A760" s="33"/>
      <c r="B760" s="34"/>
      <c r="C760" s="34"/>
      <c r="D760" s="35"/>
      <c r="E760" s="35"/>
      <c r="F760" s="35"/>
      <c r="G760" s="35"/>
      <c r="H760" s="34"/>
      <c r="I760" s="34"/>
      <c r="J760" s="34"/>
      <c r="K760" s="34"/>
      <c r="L760" s="34"/>
      <c r="M760" s="34"/>
      <c r="N760" s="34"/>
      <c r="O760" s="34"/>
    </row>
    <row r="761">
      <c r="A761" s="33"/>
      <c r="B761" s="34"/>
      <c r="C761" s="34"/>
      <c r="D761" s="35"/>
      <c r="E761" s="35"/>
      <c r="F761" s="35"/>
      <c r="G761" s="35"/>
      <c r="H761" s="34"/>
      <c r="I761" s="34"/>
      <c r="J761" s="34"/>
      <c r="K761" s="34"/>
      <c r="L761" s="34"/>
      <c r="M761" s="34"/>
      <c r="N761" s="34"/>
      <c r="O761" s="34"/>
    </row>
    <row r="762">
      <c r="A762" s="33"/>
      <c r="B762" s="34"/>
      <c r="C762" s="34"/>
      <c r="D762" s="35"/>
      <c r="E762" s="35"/>
      <c r="F762" s="35"/>
      <c r="G762" s="35"/>
      <c r="H762" s="34"/>
      <c r="I762" s="34"/>
      <c r="J762" s="34"/>
      <c r="K762" s="34"/>
      <c r="L762" s="34"/>
      <c r="M762" s="34"/>
      <c r="N762" s="34"/>
      <c r="O762" s="34"/>
    </row>
    <row r="763">
      <c r="A763" s="33"/>
      <c r="B763" s="34"/>
      <c r="C763" s="34"/>
      <c r="D763" s="35"/>
      <c r="E763" s="35"/>
      <c r="F763" s="35"/>
      <c r="G763" s="35"/>
      <c r="H763" s="34"/>
      <c r="I763" s="34"/>
      <c r="J763" s="34"/>
      <c r="K763" s="34"/>
      <c r="L763" s="34"/>
      <c r="M763" s="34"/>
      <c r="N763" s="34"/>
      <c r="O763" s="34"/>
    </row>
    <row r="764">
      <c r="A764" s="33"/>
      <c r="B764" s="34"/>
      <c r="C764" s="34"/>
      <c r="D764" s="35"/>
      <c r="E764" s="35"/>
      <c r="F764" s="35"/>
      <c r="G764" s="35"/>
      <c r="H764" s="34"/>
      <c r="I764" s="34"/>
      <c r="J764" s="34"/>
      <c r="K764" s="34"/>
      <c r="L764" s="34"/>
      <c r="M764" s="34"/>
      <c r="N764" s="34"/>
      <c r="O764" s="34"/>
    </row>
    <row r="765">
      <c r="A765" s="33"/>
      <c r="B765" s="34"/>
      <c r="C765" s="34"/>
      <c r="D765" s="35"/>
      <c r="E765" s="35"/>
      <c r="F765" s="35"/>
      <c r="G765" s="35"/>
      <c r="H765" s="34"/>
      <c r="I765" s="34"/>
      <c r="J765" s="34"/>
      <c r="K765" s="34"/>
      <c r="L765" s="34"/>
      <c r="M765" s="34"/>
      <c r="N765" s="34"/>
      <c r="O765" s="34"/>
    </row>
    <row r="766">
      <c r="A766" s="33"/>
      <c r="B766" s="34"/>
      <c r="C766" s="34"/>
      <c r="D766" s="35"/>
      <c r="E766" s="35"/>
      <c r="F766" s="35"/>
      <c r="G766" s="35"/>
      <c r="H766" s="34"/>
      <c r="I766" s="34"/>
      <c r="J766" s="34"/>
      <c r="K766" s="34"/>
      <c r="L766" s="34"/>
      <c r="M766" s="34"/>
      <c r="N766" s="34"/>
      <c r="O766" s="34"/>
    </row>
    <row r="767">
      <c r="A767" s="33"/>
      <c r="B767" s="34"/>
      <c r="C767" s="34"/>
      <c r="D767" s="35"/>
      <c r="E767" s="35"/>
      <c r="F767" s="35"/>
      <c r="G767" s="35"/>
      <c r="H767" s="34"/>
      <c r="I767" s="34"/>
      <c r="J767" s="34"/>
      <c r="K767" s="34"/>
      <c r="L767" s="34"/>
      <c r="M767" s="34"/>
      <c r="N767" s="34"/>
      <c r="O767" s="34"/>
    </row>
    <row r="768">
      <c r="A768" s="33"/>
      <c r="B768" s="34"/>
      <c r="C768" s="34"/>
      <c r="D768" s="35"/>
      <c r="E768" s="35"/>
      <c r="F768" s="35"/>
      <c r="G768" s="35"/>
      <c r="H768" s="34"/>
      <c r="I768" s="34"/>
      <c r="J768" s="34"/>
      <c r="K768" s="34"/>
      <c r="L768" s="34"/>
      <c r="M768" s="34"/>
      <c r="N768" s="34"/>
      <c r="O768" s="34"/>
    </row>
    <row r="769">
      <c r="A769" s="33"/>
      <c r="B769" s="34"/>
      <c r="C769" s="34"/>
      <c r="D769" s="35"/>
      <c r="E769" s="35"/>
      <c r="F769" s="35"/>
      <c r="G769" s="35"/>
      <c r="H769" s="34"/>
      <c r="I769" s="34"/>
      <c r="J769" s="34"/>
      <c r="K769" s="34"/>
      <c r="L769" s="34"/>
      <c r="M769" s="34"/>
      <c r="N769" s="34"/>
      <c r="O769" s="34"/>
    </row>
    <row r="770">
      <c r="A770" s="33"/>
      <c r="B770" s="34"/>
      <c r="C770" s="34"/>
      <c r="D770" s="35"/>
      <c r="E770" s="35"/>
      <c r="F770" s="35"/>
      <c r="G770" s="35"/>
      <c r="H770" s="34"/>
      <c r="I770" s="34"/>
      <c r="J770" s="34"/>
      <c r="K770" s="34"/>
      <c r="L770" s="34"/>
      <c r="M770" s="34"/>
      <c r="N770" s="34"/>
      <c r="O770" s="34"/>
    </row>
    <row r="771">
      <c r="A771" s="33"/>
      <c r="B771" s="34"/>
      <c r="C771" s="34"/>
      <c r="D771" s="35"/>
      <c r="E771" s="35"/>
      <c r="F771" s="35"/>
      <c r="G771" s="35"/>
      <c r="H771" s="34"/>
      <c r="I771" s="34"/>
      <c r="J771" s="34"/>
      <c r="K771" s="34"/>
      <c r="L771" s="34"/>
      <c r="M771" s="34"/>
      <c r="N771" s="34"/>
      <c r="O771" s="34"/>
    </row>
    <row r="772">
      <c r="A772" s="33"/>
      <c r="B772" s="34"/>
      <c r="C772" s="34"/>
      <c r="D772" s="35"/>
      <c r="E772" s="35"/>
      <c r="F772" s="35"/>
      <c r="G772" s="35"/>
      <c r="H772" s="34"/>
      <c r="I772" s="34"/>
      <c r="J772" s="34"/>
      <c r="K772" s="34"/>
      <c r="L772" s="34"/>
      <c r="M772" s="34"/>
      <c r="N772" s="34"/>
      <c r="O772" s="34"/>
    </row>
    <row r="773">
      <c r="A773" s="33"/>
      <c r="B773" s="34"/>
      <c r="C773" s="34"/>
      <c r="D773" s="35"/>
      <c r="E773" s="35"/>
      <c r="F773" s="35"/>
      <c r="G773" s="35"/>
      <c r="H773" s="34"/>
      <c r="I773" s="34"/>
      <c r="J773" s="34"/>
      <c r="K773" s="34"/>
      <c r="L773" s="34"/>
      <c r="M773" s="34"/>
      <c r="N773" s="34"/>
      <c r="O773" s="34"/>
    </row>
    <row r="774">
      <c r="A774" s="33"/>
      <c r="B774" s="34"/>
      <c r="C774" s="34"/>
      <c r="D774" s="35"/>
      <c r="E774" s="35"/>
      <c r="F774" s="35"/>
      <c r="G774" s="35"/>
      <c r="H774" s="34"/>
      <c r="I774" s="34"/>
      <c r="J774" s="34"/>
      <c r="K774" s="34"/>
      <c r="L774" s="34"/>
      <c r="M774" s="34"/>
      <c r="N774" s="34"/>
      <c r="O774" s="34"/>
    </row>
    <row r="775">
      <c r="A775" s="33"/>
      <c r="B775" s="34"/>
      <c r="C775" s="34"/>
      <c r="D775" s="35"/>
      <c r="E775" s="35"/>
      <c r="F775" s="35"/>
      <c r="G775" s="35"/>
      <c r="H775" s="34"/>
      <c r="I775" s="34"/>
      <c r="J775" s="34"/>
      <c r="K775" s="34"/>
      <c r="L775" s="34"/>
      <c r="M775" s="34"/>
      <c r="N775" s="34"/>
      <c r="O775" s="34"/>
    </row>
    <row r="776">
      <c r="A776" s="33"/>
      <c r="B776" s="34"/>
      <c r="C776" s="34"/>
      <c r="D776" s="35"/>
      <c r="E776" s="35"/>
      <c r="F776" s="35"/>
      <c r="G776" s="35"/>
      <c r="H776" s="34"/>
      <c r="I776" s="34"/>
      <c r="J776" s="34"/>
      <c r="K776" s="34"/>
      <c r="L776" s="34"/>
      <c r="M776" s="34"/>
      <c r="N776" s="34"/>
      <c r="O776" s="34"/>
    </row>
    <row r="777">
      <c r="A777" s="33"/>
      <c r="B777" s="34"/>
      <c r="C777" s="34"/>
      <c r="D777" s="35"/>
      <c r="E777" s="35"/>
      <c r="F777" s="35"/>
      <c r="G777" s="35"/>
      <c r="H777" s="34"/>
      <c r="I777" s="34"/>
      <c r="J777" s="34"/>
      <c r="K777" s="34"/>
      <c r="L777" s="34"/>
      <c r="M777" s="34"/>
      <c r="N777" s="34"/>
      <c r="O777" s="34"/>
    </row>
    <row r="778">
      <c r="A778" s="33"/>
      <c r="B778" s="34"/>
      <c r="C778" s="34"/>
      <c r="D778" s="35"/>
      <c r="E778" s="35"/>
      <c r="F778" s="35"/>
      <c r="G778" s="35"/>
      <c r="H778" s="34"/>
      <c r="I778" s="34"/>
      <c r="J778" s="34"/>
      <c r="K778" s="34"/>
      <c r="L778" s="34"/>
      <c r="M778" s="34"/>
      <c r="N778" s="34"/>
      <c r="O778" s="34"/>
    </row>
    <row r="779">
      <c r="A779" s="33"/>
      <c r="B779" s="34"/>
      <c r="C779" s="34"/>
      <c r="D779" s="35"/>
      <c r="E779" s="35"/>
      <c r="F779" s="35"/>
      <c r="G779" s="35"/>
      <c r="H779" s="34"/>
      <c r="I779" s="34"/>
      <c r="J779" s="34"/>
      <c r="K779" s="34"/>
      <c r="L779" s="34"/>
      <c r="M779" s="34"/>
      <c r="N779" s="34"/>
      <c r="O779" s="34"/>
    </row>
    <row r="780">
      <c r="A780" s="33"/>
      <c r="B780" s="34"/>
      <c r="C780" s="34"/>
      <c r="D780" s="35"/>
      <c r="E780" s="35"/>
      <c r="F780" s="35"/>
      <c r="G780" s="35"/>
      <c r="H780" s="34"/>
      <c r="I780" s="34"/>
      <c r="J780" s="34"/>
      <c r="K780" s="34"/>
      <c r="L780" s="34"/>
      <c r="M780" s="34"/>
      <c r="N780" s="34"/>
      <c r="O780" s="34"/>
    </row>
    <row r="781">
      <c r="A781" s="33"/>
      <c r="B781" s="34"/>
      <c r="C781" s="34"/>
      <c r="D781" s="35"/>
      <c r="E781" s="35"/>
      <c r="F781" s="35"/>
      <c r="G781" s="35"/>
      <c r="H781" s="34"/>
      <c r="I781" s="34"/>
      <c r="J781" s="34"/>
      <c r="K781" s="34"/>
      <c r="L781" s="34"/>
      <c r="M781" s="34"/>
      <c r="N781" s="34"/>
      <c r="O781" s="34"/>
    </row>
    <row r="782">
      <c r="A782" s="33"/>
      <c r="B782" s="34"/>
      <c r="C782" s="34"/>
      <c r="D782" s="35"/>
      <c r="E782" s="35"/>
      <c r="F782" s="35"/>
      <c r="G782" s="35"/>
      <c r="H782" s="34"/>
      <c r="I782" s="34"/>
      <c r="J782" s="34"/>
      <c r="K782" s="34"/>
      <c r="L782" s="34"/>
      <c r="M782" s="34"/>
      <c r="N782" s="34"/>
      <c r="O782" s="34"/>
    </row>
    <row r="783">
      <c r="A783" s="33"/>
      <c r="B783" s="34"/>
      <c r="C783" s="34"/>
      <c r="D783" s="35"/>
      <c r="E783" s="35"/>
      <c r="F783" s="35"/>
      <c r="G783" s="35"/>
      <c r="H783" s="34"/>
      <c r="I783" s="34"/>
      <c r="J783" s="34"/>
      <c r="K783" s="34"/>
      <c r="L783" s="34"/>
      <c r="M783" s="34"/>
      <c r="N783" s="34"/>
      <c r="O783" s="34"/>
    </row>
    <row r="784">
      <c r="A784" s="33"/>
      <c r="B784" s="34"/>
      <c r="C784" s="34"/>
      <c r="D784" s="35"/>
      <c r="E784" s="35"/>
      <c r="F784" s="35"/>
      <c r="G784" s="35"/>
      <c r="H784" s="34"/>
      <c r="I784" s="34"/>
      <c r="J784" s="34"/>
      <c r="K784" s="34"/>
      <c r="L784" s="34"/>
      <c r="M784" s="34"/>
      <c r="N784" s="34"/>
      <c r="O784" s="34"/>
    </row>
    <row r="785">
      <c r="A785" s="33"/>
      <c r="B785" s="34"/>
      <c r="C785" s="34"/>
      <c r="D785" s="35"/>
      <c r="E785" s="35"/>
      <c r="F785" s="35"/>
      <c r="G785" s="35"/>
      <c r="H785" s="34"/>
      <c r="I785" s="34"/>
      <c r="J785" s="34"/>
      <c r="K785" s="34"/>
      <c r="L785" s="34"/>
      <c r="M785" s="34"/>
      <c r="N785" s="34"/>
      <c r="O785" s="34"/>
    </row>
    <row r="786">
      <c r="A786" s="33"/>
      <c r="B786" s="34"/>
      <c r="C786" s="34"/>
      <c r="D786" s="35"/>
      <c r="E786" s="35"/>
      <c r="F786" s="35"/>
      <c r="G786" s="35"/>
      <c r="H786" s="34"/>
      <c r="I786" s="34"/>
      <c r="J786" s="34"/>
      <c r="K786" s="34"/>
      <c r="L786" s="34"/>
      <c r="M786" s="34"/>
      <c r="N786" s="34"/>
      <c r="O786" s="34"/>
    </row>
    <row r="787">
      <c r="A787" s="33"/>
      <c r="B787" s="34"/>
      <c r="C787" s="34"/>
      <c r="D787" s="35"/>
      <c r="E787" s="35"/>
      <c r="F787" s="35"/>
      <c r="G787" s="35"/>
      <c r="H787" s="34"/>
      <c r="I787" s="34"/>
      <c r="J787" s="34"/>
      <c r="K787" s="34"/>
      <c r="L787" s="34"/>
      <c r="M787" s="34"/>
      <c r="N787" s="34"/>
      <c r="O787" s="34"/>
    </row>
    <row r="788">
      <c r="A788" s="33"/>
      <c r="B788" s="34"/>
      <c r="C788" s="34"/>
      <c r="D788" s="35"/>
      <c r="E788" s="35"/>
      <c r="F788" s="35"/>
      <c r="G788" s="35"/>
      <c r="H788" s="34"/>
      <c r="I788" s="34"/>
      <c r="J788" s="34"/>
      <c r="K788" s="34"/>
      <c r="L788" s="34"/>
      <c r="M788" s="34"/>
      <c r="N788" s="34"/>
      <c r="O788" s="34"/>
    </row>
    <row r="789">
      <c r="A789" s="33"/>
      <c r="B789" s="34"/>
      <c r="C789" s="34"/>
      <c r="D789" s="35"/>
      <c r="E789" s="35"/>
      <c r="F789" s="35"/>
      <c r="G789" s="35"/>
      <c r="H789" s="34"/>
      <c r="I789" s="34"/>
      <c r="J789" s="34"/>
      <c r="K789" s="34"/>
      <c r="L789" s="34"/>
      <c r="M789" s="34"/>
      <c r="N789" s="34"/>
      <c r="O789" s="34"/>
    </row>
    <row r="790">
      <c r="A790" s="33"/>
      <c r="B790" s="34"/>
      <c r="C790" s="34"/>
      <c r="D790" s="35"/>
      <c r="E790" s="35"/>
      <c r="F790" s="35"/>
      <c r="G790" s="35"/>
      <c r="H790" s="34"/>
      <c r="I790" s="34"/>
      <c r="J790" s="34"/>
      <c r="K790" s="34"/>
      <c r="L790" s="34"/>
      <c r="M790" s="34"/>
      <c r="N790" s="34"/>
      <c r="O790" s="34"/>
    </row>
    <row r="791">
      <c r="A791" s="33"/>
      <c r="B791" s="34"/>
      <c r="C791" s="34"/>
      <c r="D791" s="35"/>
      <c r="E791" s="35"/>
      <c r="F791" s="35"/>
      <c r="G791" s="35"/>
      <c r="H791" s="34"/>
      <c r="I791" s="34"/>
      <c r="J791" s="34"/>
      <c r="K791" s="34"/>
      <c r="L791" s="34"/>
      <c r="M791" s="34"/>
      <c r="N791" s="34"/>
      <c r="O791" s="34"/>
    </row>
    <row r="792">
      <c r="A792" s="33"/>
      <c r="B792" s="34"/>
      <c r="C792" s="34"/>
      <c r="D792" s="35"/>
      <c r="E792" s="35"/>
      <c r="F792" s="35"/>
      <c r="G792" s="35"/>
      <c r="H792" s="34"/>
      <c r="I792" s="34"/>
      <c r="J792" s="34"/>
      <c r="K792" s="34"/>
      <c r="L792" s="34"/>
      <c r="M792" s="34"/>
      <c r="N792" s="34"/>
      <c r="O792" s="34"/>
    </row>
    <row r="793">
      <c r="A793" s="33"/>
      <c r="B793" s="34"/>
      <c r="C793" s="34"/>
      <c r="D793" s="35"/>
      <c r="E793" s="35"/>
      <c r="F793" s="35"/>
      <c r="G793" s="35"/>
      <c r="H793" s="34"/>
      <c r="I793" s="34"/>
      <c r="J793" s="34"/>
      <c r="K793" s="34"/>
      <c r="L793" s="34"/>
      <c r="M793" s="34"/>
      <c r="N793" s="34"/>
      <c r="O793" s="34"/>
    </row>
    <row r="794">
      <c r="A794" s="33"/>
      <c r="B794" s="34"/>
      <c r="C794" s="34"/>
      <c r="D794" s="35"/>
      <c r="E794" s="35"/>
      <c r="F794" s="35"/>
      <c r="G794" s="35"/>
      <c r="H794" s="34"/>
      <c r="I794" s="34"/>
      <c r="J794" s="34"/>
      <c r="K794" s="34"/>
      <c r="L794" s="34"/>
      <c r="M794" s="34"/>
      <c r="N794" s="34"/>
      <c r="O794" s="34"/>
    </row>
    <row r="795">
      <c r="A795" s="33"/>
      <c r="B795" s="34"/>
      <c r="C795" s="34"/>
      <c r="D795" s="35"/>
      <c r="E795" s="35"/>
      <c r="F795" s="35"/>
      <c r="G795" s="35"/>
      <c r="H795" s="34"/>
      <c r="I795" s="34"/>
      <c r="J795" s="34"/>
      <c r="K795" s="34"/>
      <c r="L795" s="34"/>
      <c r="M795" s="34"/>
      <c r="N795" s="34"/>
      <c r="O795" s="34"/>
    </row>
    <row r="796">
      <c r="A796" s="33"/>
      <c r="B796" s="34"/>
      <c r="C796" s="34"/>
      <c r="D796" s="35"/>
      <c r="E796" s="35"/>
      <c r="F796" s="35"/>
      <c r="G796" s="35"/>
      <c r="H796" s="34"/>
      <c r="I796" s="34"/>
      <c r="J796" s="34"/>
      <c r="K796" s="34"/>
      <c r="L796" s="34"/>
      <c r="M796" s="34"/>
      <c r="N796" s="34"/>
      <c r="O796" s="34"/>
    </row>
    <row r="797">
      <c r="A797" s="33"/>
      <c r="B797" s="34"/>
      <c r="C797" s="34"/>
      <c r="D797" s="35"/>
      <c r="E797" s="35"/>
      <c r="F797" s="35"/>
      <c r="G797" s="35"/>
      <c r="H797" s="34"/>
      <c r="I797" s="34"/>
      <c r="J797" s="34"/>
      <c r="K797" s="34"/>
      <c r="L797" s="34"/>
      <c r="M797" s="34"/>
      <c r="N797" s="34"/>
      <c r="O797" s="34"/>
    </row>
    <row r="798">
      <c r="A798" s="33"/>
      <c r="B798" s="34"/>
      <c r="C798" s="34"/>
      <c r="D798" s="35"/>
      <c r="E798" s="35"/>
      <c r="F798" s="35"/>
      <c r="G798" s="35"/>
      <c r="H798" s="34"/>
      <c r="I798" s="34"/>
      <c r="J798" s="34"/>
      <c r="K798" s="34"/>
      <c r="L798" s="34"/>
      <c r="M798" s="34"/>
      <c r="N798" s="34"/>
      <c r="O798" s="34"/>
    </row>
    <row r="799">
      <c r="A799" s="33"/>
      <c r="B799" s="34"/>
      <c r="C799" s="34"/>
      <c r="D799" s="35"/>
      <c r="E799" s="35"/>
      <c r="F799" s="35"/>
      <c r="G799" s="35"/>
      <c r="H799" s="34"/>
      <c r="I799" s="34"/>
      <c r="J799" s="34"/>
      <c r="K799" s="34"/>
      <c r="L799" s="34"/>
      <c r="M799" s="34"/>
      <c r="N799" s="34"/>
      <c r="O799" s="34"/>
    </row>
    <row r="800">
      <c r="A800" s="33"/>
      <c r="B800" s="34"/>
      <c r="C800" s="34"/>
      <c r="D800" s="35"/>
      <c r="E800" s="35"/>
      <c r="F800" s="35"/>
      <c r="G800" s="35"/>
      <c r="H800" s="34"/>
      <c r="I800" s="34"/>
      <c r="J800" s="34"/>
      <c r="K800" s="34"/>
      <c r="L800" s="34"/>
      <c r="M800" s="34"/>
      <c r="N800" s="34"/>
      <c r="O800" s="34"/>
    </row>
    <row r="801">
      <c r="A801" s="33"/>
      <c r="B801" s="34"/>
      <c r="C801" s="34"/>
      <c r="D801" s="35"/>
      <c r="E801" s="35"/>
      <c r="F801" s="35"/>
      <c r="G801" s="35"/>
      <c r="H801" s="34"/>
      <c r="I801" s="34"/>
      <c r="J801" s="34"/>
      <c r="K801" s="34"/>
      <c r="L801" s="34"/>
      <c r="M801" s="34"/>
      <c r="N801" s="34"/>
      <c r="O801" s="34"/>
    </row>
    <row r="802">
      <c r="A802" s="33"/>
      <c r="B802" s="34"/>
      <c r="C802" s="34"/>
      <c r="D802" s="35"/>
      <c r="E802" s="35"/>
      <c r="F802" s="35"/>
      <c r="G802" s="35"/>
      <c r="H802" s="34"/>
      <c r="I802" s="34"/>
      <c r="J802" s="34"/>
      <c r="K802" s="34"/>
      <c r="L802" s="34"/>
      <c r="M802" s="34"/>
      <c r="N802" s="34"/>
      <c r="O802" s="34"/>
    </row>
    <row r="803">
      <c r="A803" s="33"/>
      <c r="B803" s="34"/>
      <c r="C803" s="34"/>
      <c r="D803" s="35"/>
      <c r="E803" s="35"/>
      <c r="F803" s="35"/>
      <c r="G803" s="35"/>
      <c r="H803" s="34"/>
      <c r="I803" s="34"/>
      <c r="J803" s="34"/>
      <c r="K803" s="34"/>
      <c r="L803" s="34"/>
      <c r="M803" s="34"/>
      <c r="N803" s="34"/>
      <c r="O803" s="34"/>
    </row>
    <row r="804">
      <c r="A804" s="33"/>
      <c r="B804" s="34"/>
      <c r="C804" s="34"/>
      <c r="D804" s="35"/>
      <c r="E804" s="35"/>
      <c r="F804" s="35"/>
      <c r="G804" s="35"/>
      <c r="H804" s="34"/>
      <c r="I804" s="34"/>
      <c r="J804" s="34"/>
      <c r="K804" s="34"/>
      <c r="L804" s="34"/>
      <c r="M804" s="34"/>
      <c r="N804" s="34"/>
      <c r="O804" s="34"/>
    </row>
    <row r="805">
      <c r="A805" s="33"/>
      <c r="B805" s="34"/>
      <c r="C805" s="34"/>
      <c r="D805" s="35"/>
      <c r="E805" s="35"/>
      <c r="F805" s="35"/>
      <c r="G805" s="35"/>
      <c r="H805" s="34"/>
      <c r="I805" s="34"/>
      <c r="J805" s="34"/>
      <c r="K805" s="34"/>
      <c r="L805" s="34"/>
      <c r="M805" s="34"/>
      <c r="N805" s="34"/>
      <c r="O805" s="34"/>
    </row>
    <row r="806">
      <c r="A806" s="33"/>
      <c r="B806" s="34"/>
      <c r="C806" s="34"/>
      <c r="D806" s="35"/>
      <c r="E806" s="35"/>
      <c r="F806" s="35"/>
      <c r="G806" s="35"/>
      <c r="H806" s="34"/>
      <c r="I806" s="34"/>
      <c r="J806" s="34"/>
      <c r="K806" s="34"/>
      <c r="L806" s="34"/>
      <c r="M806" s="34"/>
      <c r="N806" s="34"/>
      <c r="O806" s="34"/>
    </row>
    <row r="807">
      <c r="A807" s="33"/>
      <c r="B807" s="34"/>
      <c r="C807" s="34"/>
      <c r="D807" s="35"/>
      <c r="E807" s="35"/>
      <c r="F807" s="35"/>
      <c r="G807" s="35"/>
      <c r="H807" s="34"/>
      <c r="I807" s="34"/>
      <c r="J807" s="34"/>
      <c r="K807" s="34"/>
      <c r="L807" s="34"/>
      <c r="M807" s="34"/>
      <c r="N807" s="34"/>
      <c r="O807" s="34"/>
    </row>
    <row r="808">
      <c r="A808" s="33"/>
      <c r="B808" s="34"/>
      <c r="C808" s="34"/>
      <c r="D808" s="35"/>
      <c r="E808" s="35"/>
      <c r="F808" s="35"/>
      <c r="G808" s="35"/>
      <c r="H808" s="34"/>
      <c r="I808" s="34"/>
      <c r="J808" s="34"/>
      <c r="K808" s="34"/>
      <c r="L808" s="34"/>
      <c r="M808" s="34"/>
      <c r="N808" s="34"/>
      <c r="O808" s="34"/>
    </row>
    <row r="809">
      <c r="A809" s="33"/>
      <c r="B809" s="34"/>
      <c r="C809" s="34"/>
      <c r="D809" s="35"/>
      <c r="E809" s="35"/>
      <c r="F809" s="35"/>
      <c r="G809" s="35"/>
      <c r="H809" s="34"/>
      <c r="I809" s="34"/>
      <c r="J809" s="34"/>
      <c r="K809" s="34"/>
      <c r="L809" s="34"/>
      <c r="M809" s="34"/>
      <c r="N809" s="34"/>
      <c r="O809" s="34"/>
    </row>
    <row r="810">
      <c r="A810" s="33"/>
      <c r="B810" s="34"/>
      <c r="C810" s="34"/>
      <c r="D810" s="35"/>
      <c r="E810" s="35"/>
      <c r="F810" s="35"/>
      <c r="G810" s="35"/>
      <c r="H810" s="34"/>
      <c r="I810" s="34"/>
      <c r="J810" s="34"/>
      <c r="K810" s="34"/>
      <c r="L810" s="34"/>
      <c r="M810" s="34"/>
      <c r="N810" s="34"/>
      <c r="O810" s="34"/>
    </row>
    <row r="811">
      <c r="A811" s="33"/>
      <c r="B811" s="34"/>
      <c r="C811" s="34"/>
      <c r="D811" s="35"/>
      <c r="E811" s="35"/>
      <c r="F811" s="35"/>
      <c r="G811" s="35"/>
      <c r="H811" s="34"/>
      <c r="I811" s="34"/>
      <c r="J811" s="34"/>
      <c r="K811" s="34"/>
      <c r="L811" s="34"/>
      <c r="M811" s="34"/>
      <c r="N811" s="34"/>
      <c r="O811" s="34"/>
    </row>
    <row r="812">
      <c r="A812" s="33"/>
      <c r="B812" s="34"/>
      <c r="C812" s="34"/>
      <c r="D812" s="35"/>
      <c r="E812" s="35"/>
      <c r="F812" s="35"/>
      <c r="G812" s="35"/>
      <c r="H812" s="34"/>
      <c r="I812" s="34"/>
      <c r="J812" s="34"/>
      <c r="K812" s="34"/>
      <c r="L812" s="34"/>
      <c r="M812" s="34"/>
      <c r="N812" s="34"/>
      <c r="O812" s="34"/>
    </row>
    <row r="813">
      <c r="A813" s="33"/>
      <c r="B813" s="34"/>
      <c r="C813" s="34"/>
      <c r="D813" s="35"/>
      <c r="E813" s="35"/>
      <c r="F813" s="35"/>
      <c r="G813" s="35"/>
      <c r="H813" s="34"/>
      <c r="I813" s="34"/>
      <c r="J813" s="34"/>
      <c r="K813" s="34"/>
      <c r="L813" s="34"/>
      <c r="M813" s="34"/>
      <c r="N813" s="34"/>
      <c r="O813" s="34"/>
    </row>
    <row r="814">
      <c r="A814" s="33"/>
      <c r="B814" s="34"/>
      <c r="C814" s="34"/>
      <c r="D814" s="35"/>
      <c r="E814" s="35"/>
      <c r="F814" s="35"/>
      <c r="G814" s="35"/>
      <c r="H814" s="34"/>
      <c r="I814" s="34"/>
      <c r="J814" s="34"/>
      <c r="K814" s="34"/>
      <c r="L814" s="34"/>
      <c r="M814" s="34"/>
      <c r="N814" s="34"/>
      <c r="O814" s="34"/>
    </row>
    <row r="815">
      <c r="A815" s="33"/>
      <c r="B815" s="34"/>
      <c r="C815" s="34"/>
      <c r="D815" s="35"/>
      <c r="E815" s="35"/>
      <c r="F815" s="35"/>
      <c r="G815" s="35"/>
      <c r="H815" s="34"/>
      <c r="I815" s="34"/>
      <c r="J815" s="34"/>
      <c r="K815" s="34"/>
      <c r="L815" s="34"/>
      <c r="M815" s="34"/>
      <c r="N815" s="34"/>
      <c r="O815" s="34"/>
    </row>
    <row r="816">
      <c r="A816" s="33"/>
      <c r="B816" s="34"/>
      <c r="C816" s="34"/>
      <c r="D816" s="35"/>
      <c r="E816" s="35"/>
      <c r="F816" s="35"/>
      <c r="G816" s="35"/>
      <c r="H816" s="34"/>
      <c r="I816" s="34"/>
      <c r="J816" s="34"/>
      <c r="K816" s="34"/>
      <c r="L816" s="34"/>
      <c r="M816" s="34"/>
      <c r="N816" s="34"/>
      <c r="O816" s="34"/>
    </row>
    <row r="817">
      <c r="A817" s="33"/>
      <c r="B817" s="34"/>
      <c r="C817" s="34"/>
      <c r="D817" s="35"/>
      <c r="E817" s="35"/>
      <c r="F817" s="35"/>
      <c r="G817" s="35"/>
      <c r="H817" s="34"/>
      <c r="I817" s="34"/>
      <c r="J817" s="34"/>
      <c r="K817" s="34"/>
      <c r="L817" s="34"/>
      <c r="M817" s="34"/>
      <c r="N817" s="34"/>
      <c r="O817" s="34"/>
    </row>
    <row r="818">
      <c r="A818" s="33"/>
      <c r="B818" s="34"/>
      <c r="C818" s="34"/>
      <c r="D818" s="35"/>
      <c r="E818" s="35"/>
      <c r="F818" s="35"/>
      <c r="G818" s="35"/>
      <c r="H818" s="34"/>
      <c r="I818" s="34"/>
      <c r="J818" s="34"/>
      <c r="K818" s="34"/>
      <c r="L818" s="34"/>
      <c r="M818" s="34"/>
      <c r="N818" s="34"/>
      <c r="O818" s="34"/>
    </row>
    <row r="819">
      <c r="A819" s="33"/>
      <c r="B819" s="34"/>
      <c r="C819" s="34"/>
      <c r="D819" s="35"/>
      <c r="E819" s="35"/>
      <c r="F819" s="35"/>
      <c r="G819" s="35"/>
      <c r="H819" s="34"/>
      <c r="I819" s="34"/>
      <c r="J819" s="34"/>
      <c r="K819" s="34"/>
      <c r="L819" s="34"/>
      <c r="M819" s="34"/>
      <c r="N819" s="34"/>
      <c r="O819" s="34"/>
    </row>
    <row r="820">
      <c r="A820" s="33"/>
      <c r="B820" s="34"/>
      <c r="C820" s="34"/>
      <c r="D820" s="35"/>
      <c r="E820" s="35"/>
      <c r="F820" s="35"/>
      <c r="G820" s="35"/>
      <c r="H820" s="34"/>
      <c r="I820" s="34"/>
      <c r="J820" s="34"/>
      <c r="K820" s="34"/>
      <c r="L820" s="34"/>
      <c r="M820" s="34"/>
      <c r="N820" s="34"/>
      <c r="O820" s="34"/>
    </row>
    <row r="821">
      <c r="A821" s="33"/>
      <c r="B821" s="34"/>
      <c r="C821" s="34"/>
      <c r="D821" s="35"/>
      <c r="E821" s="35"/>
      <c r="F821" s="35"/>
      <c r="G821" s="35"/>
      <c r="H821" s="34"/>
      <c r="I821" s="34"/>
      <c r="J821" s="34"/>
      <c r="K821" s="34"/>
      <c r="L821" s="34"/>
      <c r="M821" s="34"/>
      <c r="N821" s="34"/>
      <c r="O821" s="34"/>
    </row>
    <row r="822">
      <c r="A822" s="33"/>
      <c r="B822" s="34"/>
      <c r="C822" s="34"/>
      <c r="D822" s="35"/>
      <c r="E822" s="35"/>
      <c r="F822" s="35"/>
      <c r="G822" s="35"/>
      <c r="H822" s="34"/>
      <c r="I822" s="34"/>
      <c r="J822" s="34"/>
      <c r="K822" s="34"/>
      <c r="L822" s="34"/>
      <c r="M822" s="34"/>
      <c r="N822" s="34"/>
      <c r="O822" s="34"/>
    </row>
    <row r="823">
      <c r="A823" s="33"/>
      <c r="B823" s="34"/>
      <c r="C823" s="34"/>
      <c r="D823" s="35"/>
      <c r="E823" s="35"/>
      <c r="F823" s="35"/>
      <c r="G823" s="35"/>
      <c r="H823" s="34"/>
      <c r="I823" s="34"/>
      <c r="J823" s="34"/>
      <c r="K823" s="34"/>
      <c r="L823" s="34"/>
      <c r="M823" s="34"/>
      <c r="N823" s="34"/>
      <c r="O823" s="34"/>
    </row>
    <row r="824">
      <c r="A824" s="33"/>
      <c r="B824" s="34"/>
      <c r="C824" s="34"/>
      <c r="D824" s="35"/>
      <c r="E824" s="35"/>
      <c r="F824" s="35"/>
      <c r="G824" s="35"/>
      <c r="H824" s="34"/>
      <c r="I824" s="34"/>
      <c r="J824" s="34"/>
      <c r="K824" s="34"/>
      <c r="L824" s="34"/>
      <c r="M824" s="34"/>
      <c r="N824" s="34"/>
      <c r="O824" s="34"/>
    </row>
    <row r="825">
      <c r="A825" s="33"/>
      <c r="B825" s="34"/>
      <c r="C825" s="34"/>
      <c r="D825" s="35"/>
      <c r="E825" s="35"/>
      <c r="F825" s="35"/>
      <c r="G825" s="35"/>
      <c r="H825" s="34"/>
      <c r="I825" s="34"/>
      <c r="J825" s="34"/>
      <c r="K825" s="34"/>
      <c r="L825" s="34"/>
      <c r="M825" s="34"/>
      <c r="N825" s="34"/>
      <c r="O825" s="34"/>
    </row>
    <row r="826">
      <c r="A826" s="33"/>
      <c r="B826" s="34"/>
      <c r="C826" s="34"/>
      <c r="D826" s="35"/>
      <c r="E826" s="35"/>
      <c r="F826" s="35"/>
      <c r="G826" s="35"/>
      <c r="H826" s="34"/>
      <c r="I826" s="34"/>
      <c r="J826" s="34"/>
      <c r="K826" s="34"/>
      <c r="L826" s="34"/>
      <c r="M826" s="34"/>
      <c r="N826" s="34"/>
      <c r="O826" s="34"/>
    </row>
    <row r="827">
      <c r="A827" s="33"/>
      <c r="B827" s="34"/>
      <c r="C827" s="34"/>
      <c r="D827" s="35"/>
      <c r="E827" s="35"/>
      <c r="F827" s="35"/>
      <c r="G827" s="35"/>
      <c r="H827" s="34"/>
      <c r="I827" s="34"/>
      <c r="J827" s="34"/>
      <c r="K827" s="34"/>
      <c r="L827" s="34"/>
      <c r="M827" s="34"/>
      <c r="N827" s="34"/>
      <c r="O827" s="34"/>
    </row>
    <row r="828">
      <c r="A828" s="33"/>
      <c r="B828" s="34"/>
      <c r="C828" s="34"/>
      <c r="D828" s="35"/>
      <c r="E828" s="35"/>
      <c r="F828" s="35"/>
      <c r="G828" s="35"/>
      <c r="H828" s="34"/>
      <c r="I828" s="34"/>
      <c r="J828" s="34"/>
      <c r="K828" s="34"/>
      <c r="L828" s="34"/>
      <c r="M828" s="34"/>
      <c r="N828" s="34"/>
      <c r="O828" s="34"/>
    </row>
    <row r="829">
      <c r="A829" s="33"/>
      <c r="B829" s="34"/>
      <c r="C829" s="34"/>
      <c r="D829" s="35"/>
      <c r="E829" s="35"/>
      <c r="F829" s="35"/>
      <c r="G829" s="35"/>
      <c r="H829" s="34"/>
      <c r="I829" s="34"/>
      <c r="J829" s="34"/>
      <c r="K829" s="34"/>
      <c r="L829" s="34"/>
      <c r="M829" s="34"/>
      <c r="N829" s="34"/>
      <c r="O829" s="34"/>
    </row>
    <row r="830">
      <c r="A830" s="33"/>
      <c r="B830" s="34"/>
      <c r="C830" s="34"/>
      <c r="D830" s="35"/>
      <c r="E830" s="35"/>
      <c r="F830" s="35"/>
      <c r="G830" s="35"/>
      <c r="H830" s="34"/>
      <c r="I830" s="34"/>
      <c r="J830" s="34"/>
      <c r="K830" s="34"/>
      <c r="L830" s="34"/>
      <c r="M830" s="34"/>
      <c r="N830" s="34"/>
      <c r="O830" s="34"/>
    </row>
    <row r="831">
      <c r="A831" s="33"/>
      <c r="B831" s="34"/>
      <c r="C831" s="34"/>
      <c r="D831" s="35"/>
      <c r="E831" s="35"/>
      <c r="F831" s="35"/>
      <c r="G831" s="35"/>
      <c r="H831" s="34"/>
      <c r="I831" s="34"/>
      <c r="J831" s="34"/>
      <c r="K831" s="34"/>
      <c r="L831" s="34"/>
      <c r="M831" s="34"/>
      <c r="N831" s="34"/>
      <c r="O831" s="34"/>
    </row>
    <row r="832">
      <c r="A832" s="33"/>
      <c r="B832" s="34"/>
      <c r="C832" s="34"/>
      <c r="D832" s="35"/>
      <c r="E832" s="35"/>
      <c r="F832" s="35"/>
      <c r="G832" s="35"/>
      <c r="H832" s="34"/>
      <c r="I832" s="34"/>
      <c r="J832" s="34"/>
      <c r="K832" s="34"/>
      <c r="L832" s="34"/>
      <c r="M832" s="34"/>
      <c r="N832" s="34"/>
      <c r="O832" s="34"/>
    </row>
    <row r="833">
      <c r="A833" s="33"/>
      <c r="B833" s="34"/>
      <c r="C833" s="34"/>
      <c r="D833" s="35"/>
      <c r="E833" s="35"/>
      <c r="F833" s="35"/>
      <c r="G833" s="35"/>
      <c r="H833" s="34"/>
      <c r="I833" s="34"/>
      <c r="J833" s="34"/>
      <c r="K833" s="34"/>
      <c r="L833" s="34"/>
      <c r="M833" s="34"/>
      <c r="N833" s="34"/>
      <c r="O833" s="34"/>
    </row>
    <row r="834">
      <c r="A834" s="33"/>
      <c r="B834" s="34"/>
      <c r="C834" s="34"/>
      <c r="D834" s="35"/>
      <c r="E834" s="35"/>
      <c r="F834" s="35"/>
      <c r="G834" s="35"/>
      <c r="H834" s="34"/>
      <c r="I834" s="34"/>
      <c r="J834" s="34"/>
      <c r="K834" s="34"/>
      <c r="L834" s="34"/>
      <c r="M834" s="34"/>
      <c r="N834" s="34"/>
      <c r="O834" s="34"/>
    </row>
    <row r="835">
      <c r="A835" s="33"/>
      <c r="B835" s="34"/>
      <c r="C835" s="34"/>
      <c r="D835" s="35"/>
      <c r="E835" s="35"/>
      <c r="F835" s="35"/>
      <c r="G835" s="35"/>
      <c r="H835" s="34"/>
      <c r="I835" s="34"/>
      <c r="J835" s="34"/>
      <c r="K835" s="34"/>
      <c r="L835" s="34"/>
      <c r="M835" s="34"/>
      <c r="N835" s="34"/>
      <c r="O835" s="34"/>
    </row>
    <row r="836">
      <c r="A836" s="33"/>
      <c r="B836" s="34"/>
      <c r="C836" s="34"/>
      <c r="D836" s="35"/>
      <c r="E836" s="35"/>
      <c r="F836" s="35"/>
      <c r="G836" s="35"/>
      <c r="H836" s="34"/>
      <c r="I836" s="34"/>
      <c r="J836" s="34"/>
      <c r="K836" s="34"/>
      <c r="L836" s="34"/>
      <c r="M836" s="34"/>
      <c r="N836" s="34"/>
      <c r="O836" s="34"/>
    </row>
    <row r="837">
      <c r="A837" s="33"/>
      <c r="B837" s="34"/>
      <c r="C837" s="34"/>
      <c r="D837" s="35"/>
      <c r="E837" s="35"/>
      <c r="F837" s="35"/>
      <c r="G837" s="35"/>
      <c r="H837" s="34"/>
      <c r="I837" s="34"/>
      <c r="J837" s="34"/>
      <c r="K837" s="34"/>
      <c r="L837" s="34"/>
      <c r="M837" s="34"/>
      <c r="N837" s="34"/>
      <c r="O837" s="34"/>
    </row>
    <row r="838">
      <c r="A838" s="33"/>
      <c r="B838" s="34"/>
      <c r="C838" s="34"/>
      <c r="D838" s="35"/>
      <c r="E838" s="35"/>
      <c r="F838" s="35"/>
      <c r="G838" s="35"/>
      <c r="H838" s="34"/>
      <c r="I838" s="34"/>
      <c r="J838" s="34"/>
      <c r="K838" s="34"/>
      <c r="L838" s="34"/>
      <c r="M838" s="34"/>
      <c r="N838" s="34"/>
      <c r="O838" s="34"/>
    </row>
    <row r="839">
      <c r="A839" s="33"/>
      <c r="B839" s="34"/>
      <c r="C839" s="34"/>
      <c r="D839" s="35"/>
      <c r="E839" s="35"/>
      <c r="F839" s="35"/>
      <c r="G839" s="35"/>
      <c r="H839" s="34"/>
      <c r="I839" s="34"/>
      <c r="J839" s="34"/>
      <c r="K839" s="34"/>
      <c r="L839" s="34"/>
      <c r="M839" s="34"/>
      <c r="N839" s="34"/>
      <c r="O839" s="34"/>
    </row>
    <row r="840">
      <c r="A840" s="33"/>
      <c r="B840" s="34"/>
      <c r="C840" s="34"/>
      <c r="D840" s="35"/>
      <c r="E840" s="35"/>
      <c r="F840" s="35"/>
      <c r="G840" s="35"/>
      <c r="H840" s="34"/>
      <c r="I840" s="34"/>
      <c r="J840" s="34"/>
      <c r="K840" s="34"/>
      <c r="L840" s="34"/>
      <c r="M840" s="34"/>
      <c r="N840" s="34"/>
      <c r="O840" s="34"/>
    </row>
    <row r="841">
      <c r="A841" s="33"/>
      <c r="B841" s="34"/>
      <c r="C841" s="34"/>
      <c r="D841" s="35"/>
      <c r="E841" s="35"/>
      <c r="F841" s="35"/>
      <c r="G841" s="35"/>
      <c r="H841" s="34"/>
      <c r="I841" s="34"/>
      <c r="J841" s="34"/>
      <c r="K841" s="34"/>
      <c r="L841" s="34"/>
      <c r="M841" s="34"/>
      <c r="N841" s="34"/>
      <c r="O841" s="34"/>
    </row>
    <row r="842">
      <c r="A842" s="33"/>
      <c r="B842" s="34"/>
      <c r="C842" s="34"/>
      <c r="D842" s="35"/>
      <c r="E842" s="35"/>
      <c r="F842" s="35"/>
      <c r="G842" s="35"/>
      <c r="H842" s="34"/>
      <c r="I842" s="34"/>
      <c r="J842" s="34"/>
      <c r="K842" s="34"/>
      <c r="L842" s="34"/>
      <c r="M842" s="34"/>
      <c r="N842" s="34"/>
      <c r="O842" s="34"/>
    </row>
    <row r="843">
      <c r="A843" s="33"/>
      <c r="B843" s="34"/>
      <c r="C843" s="34"/>
      <c r="D843" s="35"/>
      <c r="E843" s="35"/>
      <c r="F843" s="35"/>
      <c r="G843" s="35"/>
      <c r="H843" s="34"/>
      <c r="I843" s="34"/>
      <c r="J843" s="34"/>
      <c r="K843" s="34"/>
      <c r="L843" s="34"/>
      <c r="M843" s="34"/>
      <c r="N843" s="34"/>
      <c r="O843" s="34"/>
    </row>
    <row r="844">
      <c r="A844" s="33"/>
      <c r="B844" s="34"/>
      <c r="C844" s="34"/>
      <c r="D844" s="35"/>
      <c r="E844" s="35"/>
      <c r="F844" s="35"/>
      <c r="G844" s="35"/>
      <c r="H844" s="34"/>
      <c r="I844" s="34"/>
      <c r="J844" s="34"/>
      <c r="K844" s="34"/>
      <c r="L844" s="34"/>
      <c r="M844" s="34"/>
      <c r="N844" s="34"/>
      <c r="O844" s="34"/>
    </row>
    <row r="845">
      <c r="A845" s="33"/>
      <c r="B845" s="34"/>
      <c r="C845" s="34"/>
      <c r="D845" s="35"/>
      <c r="E845" s="35"/>
      <c r="F845" s="35"/>
      <c r="G845" s="35"/>
      <c r="H845" s="34"/>
      <c r="I845" s="34"/>
      <c r="J845" s="34"/>
      <c r="K845" s="34"/>
      <c r="L845" s="34"/>
      <c r="M845" s="34"/>
      <c r="N845" s="34"/>
      <c r="O845" s="34"/>
    </row>
    <row r="846">
      <c r="A846" s="33"/>
      <c r="B846" s="34"/>
      <c r="C846" s="34"/>
      <c r="D846" s="35"/>
      <c r="E846" s="35"/>
      <c r="F846" s="35"/>
      <c r="G846" s="35"/>
      <c r="H846" s="34"/>
      <c r="I846" s="34"/>
      <c r="J846" s="34"/>
      <c r="K846" s="34"/>
      <c r="L846" s="34"/>
      <c r="M846" s="34"/>
      <c r="N846" s="34"/>
      <c r="O846" s="34"/>
    </row>
    <row r="847">
      <c r="A847" s="33"/>
      <c r="B847" s="34"/>
      <c r="C847" s="34"/>
      <c r="D847" s="35"/>
      <c r="E847" s="35"/>
      <c r="F847" s="35"/>
      <c r="G847" s="35"/>
      <c r="H847" s="34"/>
      <c r="I847" s="34"/>
      <c r="J847" s="34"/>
      <c r="K847" s="34"/>
      <c r="L847" s="34"/>
      <c r="M847" s="34"/>
      <c r="N847" s="34"/>
      <c r="O847" s="34"/>
    </row>
    <row r="848">
      <c r="A848" s="33"/>
      <c r="B848" s="34"/>
      <c r="C848" s="34"/>
      <c r="D848" s="35"/>
      <c r="E848" s="35"/>
      <c r="F848" s="35"/>
      <c r="G848" s="35"/>
      <c r="H848" s="34"/>
      <c r="I848" s="34"/>
      <c r="J848" s="34"/>
      <c r="K848" s="34"/>
      <c r="L848" s="34"/>
      <c r="M848" s="34"/>
      <c r="N848" s="34"/>
      <c r="O848" s="34"/>
    </row>
    <row r="849">
      <c r="A849" s="33"/>
      <c r="B849" s="34"/>
      <c r="C849" s="34"/>
      <c r="D849" s="35"/>
      <c r="E849" s="35"/>
      <c r="F849" s="35"/>
      <c r="G849" s="35"/>
      <c r="H849" s="34"/>
      <c r="I849" s="34"/>
      <c r="J849" s="34"/>
      <c r="K849" s="34"/>
      <c r="L849" s="34"/>
      <c r="M849" s="34"/>
      <c r="N849" s="34"/>
      <c r="O849" s="34"/>
    </row>
    <row r="850">
      <c r="A850" s="33"/>
      <c r="B850" s="34"/>
      <c r="C850" s="34"/>
      <c r="D850" s="35"/>
      <c r="E850" s="35"/>
      <c r="F850" s="35"/>
      <c r="G850" s="35"/>
      <c r="H850" s="34"/>
      <c r="I850" s="34"/>
      <c r="J850" s="34"/>
      <c r="K850" s="34"/>
      <c r="L850" s="34"/>
      <c r="M850" s="34"/>
      <c r="N850" s="34"/>
      <c r="O850" s="34"/>
    </row>
    <row r="851">
      <c r="A851" s="33"/>
      <c r="B851" s="34"/>
      <c r="C851" s="34"/>
      <c r="D851" s="35"/>
      <c r="E851" s="35"/>
      <c r="F851" s="35"/>
      <c r="G851" s="35"/>
      <c r="H851" s="34"/>
      <c r="I851" s="34"/>
      <c r="J851" s="34"/>
      <c r="K851" s="34"/>
      <c r="L851" s="34"/>
      <c r="M851" s="34"/>
      <c r="N851" s="34"/>
      <c r="O851" s="34"/>
    </row>
    <row r="852">
      <c r="A852" s="33"/>
      <c r="B852" s="34"/>
      <c r="C852" s="34"/>
      <c r="D852" s="35"/>
      <c r="E852" s="35"/>
      <c r="F852" s="35"/>
      <c r="G852" s="35"/>
      <c r="H852" s="34"/>
      <c r="I852" s="34"/>
      <c r="J852" s="34"/>
      <c r="K852" s="34"/>
      <c r="L852" s="34"/>
      <c r="M852" s="34"/>
      <c r="N852" s="34"/>
      <c r="O852" s="34"/>
    </row>
    <row r="853">
      <c r="A853" s="33"/>
      <c r="B853" s="34"/>
      <c r="C853" s="34"/>
      <c r="D853" s="35"/>
      <c r="E853" s="35"/>
      <c r="F853" s="35"/>
      <c r="G853" s="35"/>
      <c r="H853" s="34"/>
      <c r="I853" s="34"/>
      <c r="J853" s="34"/>
      <c r="K853" s="34"/>
      <c r="L853" s="34"/>
      <c r="M853" s="34"/>
      <c r="N853" s="34"/>
      <c r="O853" s="34"/>
    </row>
    <row r="854">
      <c r="A854" s="33"/>
      <c r="B854" s="34"/>
      <c r="C854" s="34"/>
      <c r="D854" s="35"/>
      <c r="E854" s="35"/>
      <c r="F854" s="35"/>
      <c r="G854" s="35"/>
      <c r="H854" s="34"/>
      <c r="I854" s="34"/>
      <c r="J854" s="34"/>
      <c r="K854" s="34"/>
      <c r="L854" s="34"/>
      <c r="M854" s="34"/>
      <c r="N854" s="34"/>
      <c r="O854" s="34"/>
    </row>
    <row r="855">
      <c r="A855" s="33"/>
      <c r="B855" s="34"/>
      <c r="C855" s="34"/>
      <c r="D855" s="35"/>
      <c r="E855" s="35"/>
      <c r="F855" s="35"/>
      <c r="G855" s="35"/>
      <c r="H855" s="34"/>
      <c r="I855" s="34"/>
      <c r="J855" s="34"/>
      <c r="K855" s="34"/>
      <c r="L855" s="34"/>
      <c r="M855" s="34"/>
      <c r="N855" s="34"/>
      <c r="O855" s="34"/>
    </row>
    <row r="856">
      <c r="A856" s="33"/>
      <c r="B856" s="34"/>
      <c r="C856" s="34"/>
      <c r="D856" s="35"/>
      <c r="E856" s="35"/>
      <c r="F856" s="35"/>
      <c r="G856" s="35"/>
      <c r="H856" s="34"/>
      <c r="I856" s="34"/>
      <c r="J856" s="34"/>
      <c r="K856" s="34"/>
      <c r="L856" s="34"/>
      <c r="M856" s="34"/>
      <c r="N856" s="34"/>
      <c r="O856" s="34"/>
    </row>
    <row r="857">
      <c r="A857" s="33"/>
      <c r="B857" s="34"/>
      <c r="C857" s="34"/>
      <c r="D857" s="35"/>
      <c r="E857" s="35"/>
      <c r="F857" s="35"/>
      <c r="G857" s="35"/>
      <c r="H857" s="34"/>
      <c r="I857" s="34"/>
      <c r="J857" s="34"/>
      <c r="K857" s="34"/>
      <c r="L857" s="34"/>
      <c r="M857" s="34"/>
      <c r="N857" s="34"/>
      <c r="O857" s="34"/>
    </row>
    <row r="858">
      <c r="A858" s="33"/>
      <c r="B858" s="34"/>
      <c r="C858" s="34"/>
      <c r="D858" s="35"/>
      <c r="E858" s="35"/>
      <c r="F858" s="35"/>
      <c r="G858" s="35"/>
      <c r="H858" s="34"/>
      <c r="I858" s="34"/>
      <c r="J858" s="34"/>
      <c r="K858" s="34"/>
      <c r="L858" s="34"/>
      <c r="M858" s="34"/>
      <c r="N858" s="34"/>
      <c r="O858" s="34"/>
    </row>
    <row r="859">
      <c r="A859" s="33"/>
      <c r="B859" s="34"/>
      <c r="C859" s="34"/>
      <c r="D859" s="35"/>
      <c r="E859" s="35"/>
      <c r="F859" s="35"/>
      <c r="G859" s="35"/>
      <c r="H859" s="34"/>
      <c r="I859" s="34"/>
      <c r="J859" s="34"/>
      <c r="K859" s="34"/>
      <c r="L859" s="34"/>
      <c r="M859" s="34"/>
      <c r="N859" s="34"/>
      <c r="O859" s="34"/>
    </row>
    <row r="860">
      <c r="A860" s="33"/>
      <c r="B860" s="34"/>
      <c r="C860" s="34"/>
      <c r="D860" s="35"/>
      <c r="E860" s="35"/>
      <c r="F860" s="35"/>
      <c r="G860" s="35"/>
      <c r="H860" s="34"/>
      <c r="I860" s="34"/>
      <c r="J860" s="34"/>
      <c r="K860" s="34"/>
      <c r="L860" s="34"/>
      <c r="M860" s="34"/>
      <c r="N860" s="34"/>
      <c r="O860" s="34"/>
    </row>
    <row r="861">
      <c r="A861" s="33"/>
      <c r="B861" s="34"/>
      <c r="C861" s="34"/>
      <c r="D861" s="35"/>
      <c r="E861" s="35"/>
      <c r="F861" s="35"/>
      <c r="G861" s="35"/>
      <c r="H861" s="34"/>
      <c r="I861" s="34"/>
      <c r="J861" s="34"/>
      <c r="K861" s="34"/>
      <c r="L861" s="34"/>
      <c r="M861" s="34"/>
      <c r="N861" s="34"/>
      <c r="O861" s="34"/>
    </row>
    <row r="862">
      <c r="A862" s="33"/>
      <c r="B862" s="34"/>
      <c r="C862" s="34"/>
      <c r="D862" s="35"/>
      <c r="E862" s="35"/>
      <c r="F862" s="35"/>
      <c r="G862" s="35"/>
      <c r="H862" s="34"/>
      <c r="I862" s="34"/>
      <c r="J862" s="34"/>
      <c r="K862" s="34"/>
      <c r="L862" s="34"/>
      <c r="M862" s="34"/>
      <c r="N862" s="34"/>
      <c r="O862" s="34"/>
    </row>
    <row r="863">
      <c r="A863" s="33"/>
      <c r="B863" s="34"/>
      <c r="C863" s="34"/>
      <c r="D863" s="35"/>
      <c r="E863" s="35"/>
      <c r="F863" s="35"/>
      <c r="G863" s="35"/>
      <c r="H863" s="34"/>
      <c r="I863" s="34"/>
      <c r="J863" s="34"/>
      <c r="K863" s="34"/>
      <c r="L863" s="34"/>
      <c r="M863" s="34"/>
      <c r="N863" s="34"/>
      <c r="O863" s="34"/>
    </row>
    <row r="864">
      <c r="A864" s="33"/>
      <c r="B864" s="34"/>
      <c r="C864" s="34"/>
      <c r="D864" s="35"/>
      <c r="E864" s="35"/>
      <c r="F864" s="35"/>
      <c r="G864" s="35"/>
      <c r="H864" s="34"/>
      <c r="I864" s="34"/>
      <c r="J864" s="34"/>
      <c r="K864" s="34"/>
      <c r="L864" s="34"/>
      <c r="M864" s="34"/>
      <c r="N864" s="34"/>
      <c r="O864" s="34"/>
    </row>
    <row r="865">
      <c r="A865" s="33"/>
      <c r="B865" s="34"/>
      <c r="C865" s="34"/>
      <c r="D865" s="35"/>
      <c r="E865" s="35"/>
      <c r="F865" s="35"/>
      <c r="G865" s="35"/>
      <c r="H865" s="34"/>
      <c r="I865" s="34"/>
      <c r="J865" s="34"/>
      <c r="K865" s="34"/>
      <c r="L865" s="34"/>
      <c r="M865" s="34"/>
      <c r="N865" s="34"/>
      <c r="O865" s="34"/>
    </row>
    <row r="866">
      <c r="A866" s="33"/>
      <c r="B866" s="34"/>
      <c r="C866" s="34"/>
      <c r="D866" s="35"/>
      <c r="E866" s="35"/>
      <c r="F866" s="35"/>
      <c r="G866" s="35"/>
      <c r="H866" s="34"/>
      <c r="I866" s="34"/>
      <c r="J866" s="34"/>
      <c r="K866" s="34"/>
      <c r="L866" s="34"/>
      <c r="M866" s="34"/>
      <c r="N866" s="34"/>
      <c r="O866" s="34"/>
    </row>
    <row r="867">
      <c r="A867" s="33"/>
      <c r="B867" s="34"/>
      <c r="C867" s="34"/>
      <c r="D867" s="35"/>
      <c r="E867" s="35"/>
      <c r="F867" s="35"/>
      <c r="G867" s="35"/>
      <c r="H867" s="34"/>
      <c r="I867" s="34"/>
      <c r="J867" s="34"/>
      <c r="K867" s="34"/>
      <c r="L867" s="34"/>
      <c r="M867" s="34"/>
      <c r="N867" s="34"/>
      <c r="O867" s="34"/>
    </row>
    <row r="868">
      <c r="A868" s="33"/>
      <c r="B868" s="34"/>
      <c r="C868" s="34"/>
      <c r="D868" s="35"/>
      <c r="E868" s="35"/>
      <c r="F868" s="35"/>
      <c r="G868" s="35"/>
      <c r="H868" s="34"/>
      <c r="I868" s="34"/>
      <c r="J868" s="34"/>
      <c r="K868" s="34"/>
      <c r="L868" s="34"/>
      <c r="M868" s="34"/>
      <c r="N868" s="34"/>
      <c r="O868" s="34"/>
    </row>
    <row r="869">
      <c r="A869" s="33"/>
      <c r="B869" s="34"/>
      <c r="C869" s="34"/>
      <c r="D869" s="35"/>
      <c r="E869" s="35"/>
      <c r="F869" s="35"/>
      <c r="G869" s="35"/>
      <c r="H869" s="34"/>
      <c r="I869" s="34"/>
      <c r="J869" s="34"/>
      <c r="K869" s="34"/>
      <c r="L869" s="34"/>
      <c r="M869" s="34"/>
      <c r="N869" s="34"/>
      <c r="O869" s="34"/>
    </row>
    <row r="870">
      <c r="A870" s="33"/>
      <c r="B870" s="34"/>
      <c r="C870" s="34"/>
      <c r="D870" s="35"/>
      <c r="E870" s="35"/>
      <c r="F870" s="35"/>
      <c r="G870" s="35"/>
      <c r="H870" s="34"/>
      <c r="I870" s="34"/>
      <c r="J870" s="34"/>
      <c r="K870" s="34"/>
      <c r="L870" s="34"/>
      <c r="M870" s="34"/>
      <c r="N870" s="34"/>
      <c r="O870" s="34"/>
    </row>
    <row r="871">
      <c r="A871" s="33"/>
      <c r="B871" s="34"/>
      <c r="C871" s="34"/>
      <c r="D871" s="35"/>
      <c r="E871" s="35"/>
      <c r="F871" s="35"/>
      <c r="G871" s="35"/>
      <c r="H871" s="34"/>
      <c r="I871" s="34"/>
      <c r="J871" s="34"/>
      <c r="K871" s="34"/>
      <c r="L871" s="34"/>
      <c r="M871" s="34"/>
      <c r="N871" s="34"/>
      <c r="O871" s="34"/>
    </row>
    <row r="872">
      <c r="A872" s="33"/>
      <c r="B872" s="34"/>
      <c r="C872" s="34"/>
      <c r="D872" s="35"/>
      <c r="E872" s="35"/>
      <c r="F872" s="35"/>
      <c r="G872" s="35"/>
      <c r="H872" s="34"/>
      <c r="I872" s="34"/>
      <c r="J872" s="34"/>
      <c r="K872" s="34"/>
      <c r="L872" s="34"/>
      <c r="M872" s="34"/>
      <c r="N872" s="34"/>
      <c r="O872" s="34"/>
    </row>
    <row r="873">
      <c r="A873" s="33"/>
      <c r="B873" s="34"/>
      <c r="C873" s="34"/>
      <c r="D873" s="35"/>
      <c r="E873" s="35"/>
      <c r="F873" s="35"/>
      <c r="G873" s="35"/>
      <c r="H873" s="34"/>
      <c r="I873" s="34"/>
      <c r="J873" s="34"/>
      <c r="K873" s="34"/>
      <c r="L873" s="34"/>
      <c r="M873" s="34"/>
      <c r="N873" s="34"/>
      <c r="O873" s="34"/>
    </row>
    <row r="874">
      <c r="A874" s="33"/>
      <c r="B874" s="34"/>
      <c r="C874" s="34"/>
      <c r="D874" s="35"/>
      <c r="E874" s="35"/>
      <c r="F874" s="35"/>
      <c r="G874" s="35"/>
      <c r="H874" s="34"/>
      <c r="I874" s="34"/>
      <c r="J874" s="34"/>
      <c r="K874" s="34"/>
      <c r="L874" s="34"/>
      <c r="M874" s="34"/>
      <c r="N874" s="34"/>
      <c r="O874" s="34"/>
    </row>
    <row r="875">
      <c r="A875" s="33"/>
      <c r="B875" s="34"/>
      <c r="C875" s="34"/>
      <c r="D875" s="35"/>
      <c r="E875" s="35"/>
      <c r="F875" s="35"/>
      <c r="G875" s="35"/>
      <c r="H875" s="34"/>
      <c r="I875" s="34"/>
      <c r="J875" s="34"/>
      <c r="K875" s="34"/>
      <c r="L875" s="34"/>
      <c r="M875" s="34"/>
      <c r="N875" s="34"/>
      <c r="O875" s="34"/>
    </row>
    <row r="876">
      <c r="A876" s="33"/>
      <c r="B876" s="34"/>
      <c r="C876" s="34"/>
      <c r="D876" s="35"/>
      <c r="E876" s="35"/>
      <c r="F876" s="35"/>
      <c r="G876" s="35"/>
      <c r="H876" s="34"/>
      <c r="I876" s="34"/>
      <c r="J876" s="34"/>
      <c r="K876" s="34"/>
      <c r="L876" s="34"/>
      <c r="M876" s="34"/>
      <c r="N876" s="34"/>
      <c r="O876" s="34"/>
    </row>
    <row r="877">
      <c r="A877" s="33"/>
      <c r="B877" s="34"/>
      <c r="C877" s="34"/>
      <c r="D877" s="35"/>
      <c r="E877" s="35"/>
      <c r="F877" s="35"/>
      <c r="G877" s="35"/>
      <c r="H877" s="34"/>
      <c r="I877" s="34"/>
      <c r="J877" s="34"/>
      <c r="K877" s="34"/>
      <c r="L877" s="34"/>
      <c r="M877" s="34"/>
      <c r="N877" s="34"/>
      <c r="O877" s="34"/>
    </row>
    <row r="878">
      <c r="A878" s="33"/>
      <c r="B878" s="34"/>
      <c r="C878" s="34"/>
      <c r="D878" s="35"/>
      <c r="E878" s="35"/>
      <c r="F878" s="35"/>
      <c r="G878" s="35"/>
      <c r="H878" s="34"/>
      <c r="I878" s="34"/>
      <c r="J878" s="34"/>
      <c r="K878" s="34"/>
      <c r="L878" s="34"/>
      <c r="M878" s="34"/>
      <c r="N878" s="34"/>
      <c r="O878" s="34"/>
    </row>
    <row r="879">
      <c r="A879" s="33"/>
      <c r="B879" s="34"/>
      <c r="C879" s="34"/>
      <c r="D879" s="35"/>
      <c r="E879" s="35"/>
      <c r="F879" s="35"/>
      <c r="G879" s="35"/>
      <c r="H879" s="34"/>
      <c r="I879" s="34"/>
      <c r="J879" s="34"/>
      <c r="K879" s="34"/>
      <c r="L879" s="34"/>
      <c r="M879" s="34"/>
      <c r="N879" s="34"/>
      <c r="O879" s="34"/>
    </row>
    <row r="880">
      <c r="A880" s="33"/>
      <c r="B880" s="34"/>
      <c r="C880" s="34"/>
      <c r="D880" s="35"/>
      <c r="E880" s="35"/>
      <c r="F880" s="35"/>
      <c r="G880" s="35"/>
      <c r="H880" s="34"/>
      <c r="I880" s="34"/>
      <c r="J880" s="34"/>
      <c r="K880" s="34"/>
      <c r="L880" s="34"/>
      <c r="M880" s="34"/>
      <c r="N880" s="34"/>
      <c r="O880" s="34"/>
    </row>
    <row r="881">
      <c r="A881" s="33"/>
      <c r="B881" s="34"/>
      <c r="C881" s="34"/>
      <c r="D881" s="35"/>
      <c r="E881" s="35"/>
      <c r="F881" s="35"/>
      <c r="G881" s="35"/>
      <c r="H881" s="34"/>
      <c r="I881" s="34"/>
      <c r="J881" s="34"/>
      <c r="K881" s="34"/>
      <c r="L881" s="34"/>
      <c r="M881" s="34"/>
      <c r="N881" s="34"/>
      <c r="O881" s="34"/>
    </row>
    <row r="882">
      <c r="A882" s="33"/>
      <c r="B882" s="34"/>
      <c r="C882" s="34"/>
      <c r="D882" s="35"/>
      <c r="E882" s="35"/>
      <c r="F882" s="35"/>
      <c r="G882" s="35"/>
      <c r="H882" s="34"/>
      <c r="I882" s="34"/>
      <c r="J882" s="34"/>
      <c r="K882" s="34"/>
      <c r="L882" s="34"/>
      <c r="M882" s="34"/>
      <c r="N882" s="34"/>
      <c r="O882" s="34"/>
    </row>
    <row r="883">
      <c r="A883" s="33"/>
      <c r="B883" s="34"/>
      <c r="C883" s="34"/>
      <c r="D883" s="35"/>
      <c r="E883" s="35"/>
      <c r="F883" s="35"/>
      <c r="G883" s="35"/>
      <c r="H883" s="34"/>
      <c r="I883" s="34"/>
      <c r="J883" s="34"/>
      <c r="K883" s="34"/>
      <c r="L883" s="34"/>
      <c r="M883" s="34"/>
      <c r="N883" s="34"/>
      <c r="O883" s="34"/>
    </row>
    <row r="884">
      <c r="A884" s="33"/>
      <c r="B884" s="34"/>
      <c r="C884" s="34"/>
      <c r="D884" s="35"/>
      <c r="E884" s="35"/>
      <c r="F884" s="35"/>
      <c r="G884" s="35"/>
      <c r="H884" s="34"/>
      <c r="I884" s="34"/>
      <c r="J884" s="34"/>
      <c r="K884" s="34"/>
      <c r="L884" s="34"/>
      <c r="M884" s="34"/>
      <c r="N884" s="34"/>
      <c r="O884" s="34"/>
    </row>
    <row r="885">
      <c r="A885" s="33"/>
      <c r="B885" s="34"/>
      <c r="C885" s="34"/>
      <c r="D885" s="35"/>
      <c r="E885" s="35"/>
      <c r="F885" s="35"/>
      <c r="G885" s="35"/>
      <c r="H885" s="34"/>
      <c r="I885" s="34"/>
      <c r="J885" s="34"/>
      <c r="K885" s="34"/>
      <c r="L885" s="34"/>
      <c r="M885" s="34"/>
      <c r="N885" s="34"/>
      <c r="O885" s="34"/>
    </row>
    <row r="886">
      <c r="A886" s="33"/>
      <c r="B886" s="34"/>
      <c r="C886" s="34"/>
      <c r="D886" s="35"/>
      <c r="E886" s="35"/>
      <c r="F886" s="35"/>
      <c r="G886" s="35"/>
      <c r="H886" s="34"/>
      <c r="I886" s="34"/>
      <c r="J886" s="34"/>
      <c r="K886" s="34"/>
      <c r="L886" s="34"/>
      <c r="M886" s="34"/>
      <c r="N886" s="34"/>
      <c r="O886" s="34"/>
    </row>
    <row r="887">
      <c r="A887" s="33"/>
      <c r="B887" s="34"/>
      <c r="C887" s="34"/>
      <c r="D887" s="35"/>
      <c r="E887" s="35"/>
      <c r="F887" s="35"/>
      <c r="G887" s="35"/>
      <c r="H887" s="34"/>
      <c r="I887" s="34"/>
      <c r="J887" s="34"/>
      <c r="K887" s="34"/>
      <c r="L887" s="34"/>
      <c r="M887" s="34"/>
      <c r="N887" s="34"/>
      <c r="O887" s="34"/>
    </row>
    <row r="888">
      <c r="A888" s="33"/>
      <c r="B888" s="34"/>
      <c r="C888" s="34"/>
      <c r="D888" s="35"/>
      <c r="E888" s="35"/>
      <c r="F888" s="35"/>
      <c r="G888" s="35"/>
      <c r="H888" s="34"/>
      <c r="I888" s="34"/>
      <c r="J888" s="34"/>
      <c r="K888" s="34"/>
      <c r="L888" s="34"/>
      <c r="M888" s="34"/>
      <c r="N888" s="34"/>
      <c r="O888" s="34"/>
    </row>
    <row r="889">
      <c r="A889" s="33"/>
      <c r="B889" s="34"/>
      <c r="C889" s="34"/>
      <c r="D889" s="35"/>
      <c r="E889" s="35"/>
      <c r="F889" s="35"/>
      <c r="G889" s="35"/>
      <c r="H889" s="34"/>
      <c r="I889" s="34"/>
      <c r="J889" s="34"/>
      <c r="K889" s="34"/>
      <c r="L889" s="34"/>
      <c r="M889" s="34"/>
      <c r="N889" s="34"/>
      <c r="O889" s="34"/>
    </row>
    <row r="890">
      <c r="A890" s="33"/>
      <c r="B890" s="34"/>
      <c r="C890" s="34"/>
      <c r="D890" s="35"/>
      <c r="E890" s="35"/>
      <c r="F890" s="35"/>
      <c r="G890" s="35"/>
      <c r="H890" s="34"/>
      <c r="I890" s="34"/>
      <c r="J890" s="34"/>
      <c r="K890" s="34"/>
      <c r="L890" s="34"/>
      <c r="M890" s="34"/>
      <c r="N890" s="34"/>
      <c r="O890" s="34"/>
    </row>
    <row r="891">
      <c r="A891" s="33"/>
      <c r="B891" s="34"/>
      <c r="C891" s="34"/>
      <c r="D891" s="35"/>
      <c r="E891" s="35"/>
      <c r="F891" s="35"/>
      <c r="G891" s="35"/>
      <c r="H891" s="34"/>
      <c r="I891" s="34"/>
      <c r="J891" s="34"/>
      <c r="K891" s="34"/>
      <c r="L891" s="34"/>
      <c r="M891" s="34"/>
      <c r="N891" s="34"/>
      <c r="O891" s="34"/>
    </row>
    <row r="892">
      <c r="A892" s="33"/>
      <c r="B892" s="34"/>
      <c r="C892" s="34"/>
      <c r="D892" s="35"/>
      <c r="E892" s="35"/>
      <c r="F892" s="35"/>
      <c r="G892" s="35"/>
      <c r="H892" s="34"/>
      <c r="I892" s="34"/>
      <c r="J892" s="34"/>
      <c r="K892" s="34"/>
      <c r="L892" s="34"/>
      <c r="M892" s="34"/>
      <c r="N892" s="34"/>
      <c r="O892" s="34"/>
    </row>
    <row r="893">
      <c r="A893" s="33"/>
      <c r="B893" s="34"/>
      <c r="C893" s="34"/>
      <c r="D893" s="35"/>
      <c r="E893" s="35"/>
      <c r="F893" s="35"/>
      <c r="G893" s="35"/>
      <c r="H893" s="34"/>
      <c r="I893" s="34"/>
      <c r="J893" s="34"/>
      <c r="K893" s="34"/>
      <c r="L893" s="34"/>
      <c r="M893" s="34"/>
      <c r="N893" s="34"/>
      <c r="O893" s="34"/>
    </row>
    <row r="894">
      <c r="A894" s="33"/>
      <c r="B894" s="34"/>
      <c r="C894" s="34"/>
      <c r="D894" s="35"/>
      <c r="E894" s="35"/>
      <c r="F894" s="35"/>
      <c r="G894" s="35"/>
      <c r="H894" s="34"/>
      <c r="I894" s="34"/>
      <c r="J894" s="34"/>
      <c r="K894" s="34"/>
      <c r="L894" s="34"/>
      <c r="M894" s="34"/>
      <c r="N894" s="34"/>
      <c r="O894" s="34"/>
    </row>
    <row r="895">
      <c r="A895" s="33"/>
      <c r="B895" s="34"/>
      <c r="C895" s="34"/>
      <c r="D895" s="35"/>
      <c r="E895" s="35"/>
      <c r="F895" s="35"/>
      <c r="G895" s="35"/>
      <c r="H895" s="34"/>
      <c r="I895" s="34"/>
      <c r="J895" s="34"/>
      <c r="K895" s="34"/>
      <c r="L895" s="34"/>
      <c r="M895" s="34"/>
      <c r="N895" s="34"/>
      <c r="O895" s="34"/>
    </row>
    <row r="896">
      <c r="A896" s="33"/>
      <c r="B896" s="34"/>
      <c r="C896" s="34"/>
      <c r="D896" s="35"/>
      <c r="E896" s="35"/>
      <c r="F896" s="35"/>
      <c r="G896" s="35"/>
      <c r="H896" s="34"/>
      <c r="I896" s="34"/>
      <c r="J896" s="34"/>
      <c r="K896" s="34"/>
      <c r="L896" s="34"/>
      <c r="M896" s="34"/>
      <c r="N896" s="34"/>
      <c r="O896" s="34"/>
    </row>
    <row r="897">
      <c r="A897" s="33"/>
      <c r="B897" s="34"/>
      <c r="C897" s="34"/>
      <c r="D897" s="35"/>
      <c r="E897" s="35"/>
      <c r="F897" s="35"/>
      <c r="G897" s="35"/>
      <c r="H897" s="34"/>
      <c r="I897" s="34"/>
      <c r="J897" s="34"/>
      <c r="K897" s="34"/>
      <c r="L897" s="34"/>
      <c r="M897" s="34"/>
      <c r="N897" s="34"/>
      <c r="O897" s="34"/>
    </row>
    <row r="898">
      <c r="A898" s="33"/>
      <c r="B898" s="34"/>
      <c r="C898" s="34"/>
      <c r="D898" s="35"/>
      <c r="E898" s="35"/>
      <c r="F898" s="35"/>
      <c r="G898" s="35"/>
      <c r="H898" s="34"/>
      <c r="I898" s="34"/>
      <c r="J898" s="34"/>
      <c r="K898" s="34"/>
      <c r="L898" s="34"/>
      <c r="M898" s="34"/>
      <c r="N898" s="34"/>
      <c r="O898" s="34"/>
    </row>
    <row r="899">
      <c r="A899" s="33"/>
      <c r="B899" s="34"/>
      <c r="C899" s="34"/>
      <c r="D899" s="35"/>
      <c r="E899" s="35"/>
      <c r="F899" s="35"/>
      <c r="G899" s="35"/>
      <c r="H899" s="34"/>
      <c r="I899" s="34"/>
      <c r="J899" s="34"/>
      <c r="K899" s="34"/>
      <c r="L899" s="34"/>
      <c r="M899" s="34"/>
      <c r="N899" s="34"/>
      <c r="O899" s="34"/>
    </row>
    <row r="900">
      <c r="A900" s="33"/>
      <c r="B900" s="34"/>
      <c r="C900" s="34"/>
      <c r="D900" s="35"/>
      <c r="E900" s="35"/>
      <c r="F900" s="35"/>
      <c r="G900" s="35"/>
      <c r="H900" s="34"/>
      <c r="I900" s="34"/>
      <c r="J900" s="34"/>
      <c r="K900" s="34"/>
      <c r="L900" s="34"/>
      <c r="M900" s="34"/>
      <c r="N900" s="34"/>
      <c r="O900" s="34"/>
    </row>
    <row r="901">
      <c r="A901" s="33"/>
      <c r="B901" s="34"/>
      <c r="C901" s="34"/>
      <c r="D901" s="35"/>
      <c r="E901" s="35"/>
      <c r="F901" s="35"/>
      <c r="G901" s="35"/>
      <c r="H901" s="34"/>
      <c r="I901" s="34"/>
      <c r="J901" s="34"/>
      <c r="K901" s="34"/>
      <c r="L901" s="34"/>
      <c r="M901" s="34"/>
      <c r="N901" s="34"/>
      <c r="O901" s="34"/>
    </row>
    <row r="902">
      <c r="A902" s="33"/>
      <c r="B902" s="34"/>
      <c r="C902" s="34"/>
      <c r="D902" s="35"/>
      <c r="E902" s="35"/>
      <c r="F902" s="35"/>
      <c r="G902" s="35"/>
      <c r="H902" s="34"/>
      <c r="I902" s="34"/>
      <c r="J902" s="34"/>
      <c r="K902" s="34"/>
      <c r="L902" s="34"/>
      <c r="M902" s="34"/>
      <c r="N902" s="34"/>
      <c r="O902" s="34"/>
    </row>
    <row r="903">
      <c r="A903" s="33"/>
      <c r="B903" s="34"/>
      <c r="C903" s="34"/>
      <c r="D903" s="35"/>
      <c r="E903" s="35"/>
      <c r="F903" s="35"/>
      <c r="G903" s="35"/>
      <c r="H903" s="34"/>
      <c r="I903" s="34"/>
      <c r="J903" s="34"/>
      <c r="K903" s="34"/>
      <c r="L903" s="34"/>
      <c r="M903" s="34"/>
      <c r="N903" s="34"/>
      <c r="O903" s="34"/>
    </row>
    <row r="904">
      <c r="A904" s="33"/>
      <c r="B904" s="34"/>
      <c r="C904" s="34"/>
      <c r="D904" s="35"/>
      <c r="E904" s="35"/>
      <c r="F904" s="35"/>
      <c r="G904" s="35"/>
      <c r="H904" s="34"/>
      <c r="I904" s="34"/>
      <c r="J904" s="34"/>
      <c r="K904" s="34"/>
      <c r="L904" s="34"/>
      <c r="M904" s="34"/>
      <c r="N904" s="34"/>
      <c r="O904" s="34"/>
    </row>
    <row r="905">
      <c r="A905" s="33"/>
      <c r="B905" s="34"/>
      <c r="C905" s="34"/>
      <c r="D905" s="35"/>
      <c r="E905" s="35"/>
      <c r="F905" s="35"/>
      <c r="G905" s="35"/>
      <c r="H905" s="34"/>
      <c r="I905" s="34"/>
      <c r="J905" s="34"/>
      <c r="K905" s="34"/>
      <c r="L905" s="34"/>
      <c r="M905" s="34"/>
      <c r="N905" s="34"/>
      <c r="O905" s="34"/>
    </row>
    <row r="906">
      <c r="A906" s="33"/>
      <c r="B906" s="34"/>
      <c r="C906" s="34"/>
      <c r="D906" s="35"/>
      <c r="E906" s="35"/>
      <c r="F906" s="35"/>
      <c r="G906" s="35"/>
      <c r="H906" s="34"/>
      <c r="I906" s="34"/>
      <c r="J906" s="34"/>
      <c r="K906" s="34"/>
      <c r="L906" s="34"/>
      <c r="M906" s="34"/>
      <c r="N906" s="34"/>
      <c r="O906" s="34"/>
    </row>
    <row r="907">
      <c r="A907" s="33"/>
      <c r="B907" s="34"/>
      <c r="C907" s="34"/>
      <c r="D907" s="35"/>
      <c r="E907" s="35"/>
      <c r="F907" s="35"/>
      <c r="G907" s="35"/>
      <c r="H907" s="34"/>
      <c r="I907" s="34"/>
      <c r="J907" s="34"/>
      <c r="K907" s="34"/>
      <c r="L907" s="34"/>
      <c r="M907" s="34"/>
      <c r="N907" s="34"/>
      <c r="O907" s="34"/>
    </row>
    <row r="908">
      <c r="A908" s="33"/>
      <c r="B908" s="34"/>
      <c r="C908" s="34"/>
      <c r="D908" s="35"/>
      <c r="E908" s="35"/>
      <c r="F908" s="35"/>
      <c r="G908" s="35"/>
      <c r="H908" s="34"/>
      <c r="I908" s="34"/>
      <c r="J908" s="34"/>
      <c r="K908" s="34"/>
      <c r="L908" s="34"/>
      <c r="M908" s="34"/>
      <c r="N908" s="34"/>
      <c r="O908" s="34"/>
    </row>
    <row r="909">
      <c r="A909" s="33"/>
      <c r="B909" s="34"/>
      <c r="C909" s="34"/>
      <c r="D909" s="35"/>
      <c r="E909" s="35"/>
      <c r="F909" s="35"/>
      <c r="G909" s="35"/>
      <c r="H909" s="34"/>
      <c r="I909" s="34"/>
      <c r="J909" s="34"/>
      <c r="K909" s="34"/>
      <c r="L909" s="34"/>
      <c r="M909" s="34"/>
      <c r="N909" s="34"/>
      <c r="O909" s="34"/>
    </row>
    <row r="910">
      <c r="A910" s="33"/>
      <c r="B910" s="34"/>
      <c r="C910" s="34"/>
      <c r="D910" s="35"/>
      <c r="E910" s="35"/>
      <c r="F910" s="35"/>
      <c r="G910" s="35"/>
      <c r="H910" s="34"/>
      <c r="I910" s="34"/>
      <c r="J910" s="34"/>
      <c r="K910" s="34"/>
      <c r="L910" s="34"/>
      <c r="M910" s="34"/>
      <c r="N910" s="34"/>
      <c r="O910" s="34"/>
    </row>
    <row r="911">
      <c r="A911" s="33"/>
      <c r="B911" s="34"/>
      <c r="C911" s="34"/>
      <c r="D911" s="35"/>
      <c r="E911" s="35"/>
      <c r="F911" s="35"/>
      <c r="G911" s="35"/>
      <c r="H911" s="34"/>
      <c r="I911" s="34"/>
      <c r="J911" s="34"/>
      <c r="K911" s="34"/>
      <c r="L911" s="34"/>
      <c r="M911" s="34"/>
      <c r="N911" s="34"/>
      <c r="O911" s="34"/>
    </row>
    <row r="912">
      <c r="A912" s="33"/>
      <c r="B912" s="34"/>
      <c r="C912" s="34"/>
      <c r="D912" s="35"/>
      <c r="E912" s="35"/>
      <c r="F912" s="35"/>
      <c r="G912" s="35"/>
      <c r="H912" s="34"/>
      <c r="I912" s="34"/>
      <c r="J912" s="34"/>
      <c r="K912" s="34"/>
      <c r="L912" s="34"/>
      <c r="M912" s="34"/>
      <c r="N912" s="34"/>
      <c r="O912" s="34"/>
    </row>
    <row r="913">
      <c r="A913" s="33"/>
      <c r="B913" s="34"/>
      <c r="C913" s="34"/>
      <c r="D913" s="35"/>
      <c r="E913" s="35"/>
      <c r="F913" s="35"/>
      <c r="G913" s="35"/>
      <c r="H913" s="34"/>
      <c r="I913" s="34"/>
      <c r="J913" s="34"/>
      <c r="K913" s="34"/>
      <c r="L913" s="34"/>
      <c r="M913" s="34"/>
      <c r="N913" s="34"/>
      <c r="O913" s="34"/>
    </row>
    <row r="914">
      <c r="A914" s="33"/>
      <c r="B914" s="34"/>
      <c r="C914" s="34"/>
      <c r="D914" s="35"/>
      <c r="E914" s="35"/>
      <c r="F914" s="35"/>
      <c r="G914" s="35"/>
      <c r="H914" s="34"/>
      <c r="I914" s="34"/>
      <c r="J914" s="34"/>
      <c r="K914" s="34"/>
      <c r="L914" s="34"/>
      <c r="M914" s="34"/>
      <c r="N914" s="34"/>
      <c r="O914" s="34"/>
    </row>
    <row r="915">
      <c r="A915" s="33"/>
      <c r="B915" s="34"/>
      <c r="C915" s="34"/>
      <c r="D915" s="35"/>
      <c r="E915" s="35"/>
      <c r="F915" s="35"/>
      <c r="G915" s="35"/>
      <c r="H915" s="34"/>
      <c r="I915" s="34"/>
      <c r="J915" s="34"/>
      <c r="K915" s="34"/>
      <c r="L915" s="34"/>
      <c r="M915" s="34"/>
      <c r="N915" s="34"/>
      <c r="O915" s="34"/>
    </row>
    <row r="916">
      <c r="A916" s="33"/>
      <c r="B916" s="34"/>
      <c r="C916" s="34"/>
      <c r="D916" s="35"/>
      <c r="E916" s="35"/>
      <c r="F916" s="35"/>
      <c r="G916" s="35"/>
      <c r="H916" s="34"/>
      <c r="I916" s="34"/>
      <c r="J916" s="34"/>
      <c r="K916" s="34"/>
      <c r="L916" s="34"/>
      <c r="M916" s="34"/>
      <c r="N916" s="34"/>
      <c r="O916" s="34"/>
    </row>
    <row r="917">
      <c r="A917" s="33"/>
      <c r="B917" s="34"/>
      <c r="C917" s="34"/>
      <c r="D917" s="35"/>
      <c r="E917" s="35"/>
      <c r="F917" s="35"/>
      <c r="G917" s="35"/>
      <c r="H917" s="34"/>
      <c r="I917" s="34"/>
      <c r="J917" s="34"/>
      <c r="K917" s="34"/>
      <c r="L917" s="34"/>
      <c r="M917" s="34"/>
      <c r="N917" s="34"/>
      <c r="O917" s="34"/>
    </row>
    <row r="918">
      <c r="A918" s="33"/>
      <c r="B918" s="34"/>
      <c r="C918" s="34"/>
      <c r="D918" s="35"/>
      <c r="E918" s="35"/>
      <c r="F918" s="35"/>
      <c r="G918" s="35"/>
      <c r="H918" s="34"/>
      <c r="I918" s="34"/>
      <c r="J918" s="34"/>
      <c r="K918" s="34"/>
      <c r="L918" s="34"/>
      <c r="M918" s="34"/>
      <c r="N918" s="34"/>
      <c r="O918" s="34"/>
    </row>
    <row r="919">
      <c r="A919" s="33"/>
      <c r="B919" s="34"/>
      <c r="C919" s="34"/>
      <c r="D919" s="35"/>
      <c r="E919" s="35"/>
      <c r="F919" s="35"/>
      <c r="G919" s="35"/>
      <c r="H919" s="34"/>
      <c r="I919" s="34"/>
      <c r="J919" s="34"/>
      <c r="K919" s="34"/>
      <c r="L919" s="34"/>
      <c r="M919" s="34"/>
      <c r="N919" s="34"/>
      <c r="O919" s="34"/>
    </row>
    <row r="920">
      <c r="A920" s="33"/>
      <c r="B920" s="34"/>
      <c r="C920" s="34"/>
      <c r="D920" s="35"/>
      <c r="E920" s="35"/>
      <c r="F920" s="35"/>
      <c r="G920" s="35"/>
      <c r="H920" s="34"/>
      <c r="I920" s="34"/>
      <c r="J920" s="34"/>
      <c r="K920" s="34"/>
      <c r="L920" s="34"/>
      <c r="M920" s="34"/>
      <c r="N920" s="34"/>
      <c r="O920" s="34"/>
    </row>
    <row r="921">
      <c r="A921" s="33"/>
      <c r="B921" s="34"/>
      <c r="C921" s="34"/>
      <c r="D921" s="35"/>
      <c r="E921" s="35"/>
      <c r="F921" s="35"/>
      <c r="G921" s="35"/>
      <c r="H921" s="34"/>
      <c r="I921" s="34"/>
      <c r="J921" s="34"/>
      <c r="K921" s="34"/>
      <c r="L921" s="34"/>
      <c r="M921" s="34"/>
      <c r="N921" s="34"/>
      <c r="O921" s="34"/>
    </row>
    <row r="922">
      <c r="A922" s="33"/>
      <c r="B922" s="34"/>
      <c r="C922" s="34"/>
      <c r="D922" s="35"/>
      <c r="E922" s="35"/>
      <c r="F922" s="35"/>
      <c r="G922" s="35"/>
      <c r="H922" s="34"/>
      <c r="I922" s="34"/>
      <c r="J922" s="34"/>
      <c r="K922" s="34"/>
      <c r="L922" s="34"/>
      <c r="M922" s="34"/>
      <c r="N922" s="34"/>
      <c r="O922" s="34"/>
    </row>
    <row r="923">
      <c r="A923" s="33"/>
      <c r="B923" s="34"/>
      <c r="C923" s="34"/>
      <c r="D923" s="35"/>
      <c r="E923" s="35"/>
      <c r="F923" s="35"/>
      <c r="G923" s="35"/>
      <c r="H923" s="34"/>
      <c r="I923" s="34"/>
      <c r="J923" s="34"/>
      <c r="K923" s="34"/>
      <c r="L923" s="34"/>
      <c r="M923" s="34"/>
      <c r="N923" s="34"/>
      <c r="O923" s="34"/>
    </row>
    <row r="924">
      <c r="A924" s="33"/>
      <c r="B924" s="34"/>
      <c r="C924" s="34"/>
      <c r="D924" s="35"/>
      <c r="E924" s="35"/>
      <c r="F924" s="35"/>
      <c r="G924" s="35"/>
      <c r="H924" s="34"/>
      <c r="I924" s="34"/>
      <c r="J924" s="34"/>
      <c r="K924" s="34"/>
      <c r="L924" s="34"/>
      <c r="M924" s="34"/>
      <c r="N924" s="34"/>
      <c r="O924" s="34"/>
    </row>
    <row r="925">
      <c r="A925" s="33"/>
      <c r="B925" s="34"/>
      <c r="C925" s="34"/>
      <c r="D925" s="35"/>
      <c r="E925" s="35"/>
      <c r="F925" s="35"/>
      <c r="G925" s="35"/>
      <c r="H925" s="34"/>
      <c r="I925" s="34"/>
      <c r="J925" s="34"/>
      <c r="K925" s="34"/>
      <c r="L925" s="34"/>
      <c r="M925" s="34"/>
      <c r="N925" s="34"/>
      <c r="O925" s="34"/>
    </row>
    <row r="926">
      <c r="A926" s="33"/>
      <c r="B926" s="34"/>
      <c r="C926" s="34"/>
      <c r="D926" s="35"/>
      <c r="E926" s="35"/>
      <c r="F926" s="35"/>
      <c r="G926" s="35"/>
      <c r="H926" s="34"/>
      <c r="I926" s="34"/>
      <c r="J926" s="34"/>
      <c r="K926" s="34"/>
      <c r="L926" s="34"/>
      <c r="M926" s="34"/>
      <c r="N926" s="34"/>
      <c r="O926" s="34"/>
    </row>
    <row r="927">
      <c r="A927" s="33"/>
      <c r="B927" s="34"/>
      <c r="C927" s="34"/>
      <c r="D927" s="35"/>
      <c r="E927" s="35"/>
      <c r="F927" s="35"/>
      <c r="G927" s="35"/>
      <c r="H927" s="34"/>
      <c r="I927" s="34"/>
      <c r="J927" s="34"/>
      <c r="K927" s="34"/>
      <c r="L927" s="34"/>
      <c r="M927" s="34"/>
      <c r="N927" s="34"/>
      <c r="O927" s="34"/>
    </row>
    <row r="928">
      <c r="A928" s="33"/>
      <c r="B928" s="34"/>
      <c r="C928" s="34"/>
      <c r="D928" s="35"/>
      <c r="E928" s="35"/>
      <c r="F928" s="35"/>
      <c r="G928" s="35"/>
      <c r="H928" s="34"/>
      <c r="I928" s="34"/>
      <c r="J928" s="34"/>
      <c r="K928" s="34"/>
      <c r="L928" s="34"/>
      <c r="M928" s="34"/>
      <c r="N928" s="34"/>
      <c r="O928" s="34"/>
    </row>
    <row r="929">
      <c r="A929" s="33"/>
      <c r="B929" s="34"/>
      <c r="C929" s="34"/>
      <c r="D929" s="35"/>
      <c r="E929" s="35"/>
      <c r="F929" s="35"/>
      <c r="G929" s="35"/>
      <c r="H929" s="34"/>
      <c r="I929" s="34"/>
      <c r="J929" s="34"/>
      <c r="K929" s="34"/>
      <c r="L929" s="34"/>
      <c r="M929" s="34"/>
      <c r="N929" s="34"/>
      <c r="O929" s="34"/>
    </row>
    <row r="930">
      <c r="A930" s="33"/>
      <c r="B930" s="34"/>
      <c r="C930" s="34"/>
      <c r="D930" s="35"/>
      <c r="E930" s="35"/>
      <c r="F930" s="35"/>
      <c r="G930" s="35"/>
      <c r="H930" s="34"/>
      <c r="I930" s="34"/>
      <c r="J930" s="34"/>
      <c r="K930" s="34"/>
      <c r="L930" s="34"/>
      <c r="M930" s="34"/>
      <c r="N930" s="34"/>
      <c r="O930" s="34"/>
    </row>
    <row r="931">
      <c r="A931" s="33"/>
      <c r="B931" s="34"/>
      <c r="C931" s="34"/>
      <c r="D931" s="35"/>
      <c r="E931" s="35"/>
      <c r="F931" s="35"/>
      <c r="G931" s="35"/>
      <c r="H931" s="34"/>
      <c r="I931" s="34"/>
      <c r="J931" s="34"/>
      <c r="K931" s="34"/>
      <c r="L931" s="34"/>
      <c r="M931" s="34"/>
      <c r="N931" s="34"/>
      <c r="O931" s="34"/>
    </row>
    <row r="932">
      <c r="A932" s="33"/>
      <c r="B932" s="34"/>
      <c r="C932" s="34"/>
      <c r="D932" s="35"/>
      <c r="E932" s="35"/>
      <c r="F932" s="35"/>
      <c r="G932" s="35"/>
      <c r="H932" s="34"/>
      <c r="I932" s="34"/>
      <c r="J932" s="34"/>
      <c r="K932" s="34"/>
      <c r="L932" s="34"/>
      <c r="M932" s="34"/>
      <c r="N932" s="34"/>
      <c r="O932" s="34"/>
    </row>
    <row r="933">
      <c r="A933" s="33"/>
      <c r="B933" s="34"/>
      <c r="C933" s="34"/>
      <c r="D933" s="35"/>
      <c r="E933" s="35"/>
      <c r="F933" s="35"/>
      <c r="G933" s="35"/>
      <c r="H933" s="34"/>
      <c r="I933" s="34"/>
      <c r="J933" s="34"/>
      <c r="K933" s="34"/>
      <c r="L933" s="34"/>
      <c r="M933" s="34"/>
      <c r="N933" s="34"/>
      <c r="O933" s="34"/>
    </row>
    <row r="934">
      <c r="A934" s="33"/>
      <c r="B934" s="34"/>
      <c r="C934" s="34"/>
      <c r="D934" s="35"/>
      <c r="E934" s="35"/>
      <c r="F934" s="35"/>
      <c r="G934" s="35"/>
      <c r="H934" s="34"/>
      <c r="I934" s="34"/>
      <c r="J934" s="34"/>
      <c r="K934" s="34"/>
      <c r="L934" s="34"/>
      <c r="M934" s="34"/>
      <c r="N934" s="34"/>
      <c r="O934" s="34"/>
    </row>
    <row r="935">
      <c r="A935" s="33"/>
      <c r="B935" s="34"/>
      <c r="C935" s="34"/>
      <c r="D935" s="35"/>
      <c r="E935" s="35"/>
      <c r="F935" s="35"/>
      <c r="G935" s="35"/>
      <c r="H935" s="34"/>
      <c r="I935" s="34"/>
      <c r="J935" s="34"/>
      <c r="K935" s="34"/>
      <c r="L935" s="34"/>
      <c r="M935" s="34"/>
      <c r="N935" s="34"/>
      <c r="O935" s="34"/>
    </row>
    <row r="936">
      <c r="A936" s="33"/>
      <c r="B936" s="34"/>
      <c r="C936" s="34"/>
      <c r="D936" s="35"/>
      <c r="E936" s="35"/>
      <c r="F936" s="35"/>
      <c r="G936" s="35"/>
      <c r="H936" s="34"/>
      <c r="I936" s="34"/>
      <c r="J936" s="34"/>
      <c r="K936" s="34"/>
      <c r="L936" s="34"/>
      <c r="M936" s="34"/>
      <c r="N936" s="34"/>
      <c r="O936" s="34"/>
    </row>
    <row r="937">
      <c r="A937" s="33"/>
      <c r="B937" s="34"/>
      <c r="C937" s="34"/>
      <c r="D937" s="35"/>
      <c r="E937" s="35"/>
      <c r="F937" s="35"/>
      <c r="G937" s="35"/>
      <c r="H937" s="34"/>
      <c r="I937" s="34"/>
      <c r="J937" s="34"/>
      <c r="K937" s="34"/>
      <c r="L937" s="34"/>
      <c r="M937" s="34"/>
      <c r="N937" s="34"/>
      <c r="O937" s="34"/>
    </row>
    <row r="938">
      <c r="A938" s="33"/>
      <c r="B938" s="34"/>
      <c r="C938" s="34"/>
      <c r="D938" s="35"/>
      <c r="E938" s="35"/>
      <c r="F938" s="35"/>
      <c r="G938" s="35"/>
      <c r="H938" s="34"/>
      <c r="I938" s="34"/>
      <c r="J938" s="34"/>
      <c r="K938" s="34"/>
      <c r="L938" s="34"/>
      <c r="M938" s="34"/>
      <c r="N938" s="34"/>
      <c r="O938" s="34"/>
    </row>
    <row r="939">
      <c r="A939" s="33"/>
      <c r="B939" s="34"/>
      <c r="C939" s="34"/>
      <c r="D939" s="35"/>
      <c r="E939" s="35"/>
      <c r="F939" s="35"/>
      <c r="G939" s="35"/>
      <c r="H939" s="34"/>
      <c r="I939" s="34"/>
      <c r="J939" s="34"/>
      <c r="K939" s="34"/>
      <c r="L939" s="34"/>
      <c r="M939" s="34"/>
      <c r="N939" s="34"/>
      <c r="O939" s="34"/>
    </row>
    <row r="940">
      <c r="A940" s="33"/>
      <c r="B940" s="34"/>
      <c r="C940" s="34"/>
      <c r="D940" s="35"/>
      <c r="E940" s="35"/>
      <c r="F940" s="35"/>
      <c r="G940" s="35"/>
      <c r="H940" s="34"/>
      <c r="I940" s="34"/>
      <c r="J940" s="34"/>
      <c r="K940" s="34"/>
      <c r="L940" s="34"/>
      <c r="M940" s="34"/>
      <c r="N940" s="34"/>
      <c r="O940" s="34"/>
    </row>
    <row r="941">
      <c r="A941" s="33"/>
      <c r="B941" s="34"/>
      <c r="C941" s="34"/>
      <c r="D941" s="35"/>
      <c r="E941" s="35"/>
      <c r="F941" s="35"/>
      <c r="G941" s="35"/>
      <c r="H941" s="34"/>
      <c r="I941" s="34"/>
      <c r="J941" s="34"/>
      <c r="K941" s="34"/>
      <c r="L941" s="34"/>
      <c r="M941" s="34"/>
      <c r="N941" s="34"/>
      <c r="O941" s="34"/>
    </row>
    <row r="942">
      <c r="A942" s="33"/>
      <c r="B942" s="34"/>
      <c r="C942" s="34"/>
      <c r="D942" s="35"/>
      <c r="E942" s="35"/>
      <c r="F942" s="35"/>
      <c r="G942" s="35"/>
      <c r="H942" s="34"/>
      <c r="I942" s="34"/>
      <c r="J942" s="34"/>
      <c r="K942" s="34"/>
      <c r="L942" s="34"/>
      <c r="M942" s="34"/>
      <c r="N942" s="34"/>
      <c r="O942" s="34"/>
    </row>
    <row r="943">
      <c r="A943" s="33"/>
      <c r="B943" s="34"/>
      <c r="C943" s="34"/>
      <c r="D943" s="35"/>
      <c r="E943" s="35"/>
      <c r="F943" s="35"/>
      <c r="G943" s="35"/>
      <c r="H943" s="34"/>
      <c r="I943" s="34"/>
      <c r="J943" s="34"/>
      <c r="K943" s="34"/>
      <c r="L943" s="34"/>
      <c r="M943" s="34"/>
      <c r="N943" s="34"/>
      <c r="O943" s="34"/>
    </row>
    <row r="944">
      <c r="A944" s="33"/>
      <c r="B944" s="34"/>
      <c r="C944" s="34"/>
      <c r="D944" s="35"/>
      <c r="E944" s="35"/>
      <c r="F944" s="35"/>
      <c r="G944" s="35"/>
      <c r="H944" s="34"/>
      <c r="I944" s="34"/>
      <c r="J944" s="34"/>
      <c r="K944" s="34"/>
      <c r="L944" s="34"/>
      <c r="M944" s="34"/>
      <c r="N944" s="34"/>
      <c r="O944" s="34"/>
    </row>
    <row r="945">
      <c r="A945" s="33"/>
      <c r="B945" s="34"/>
      <c r="C945" s="34"/>
      <c r="D945" s="35"/>
      <c r="E945" s="35"/>
      <c r="F945" s="35"/>
      <c r="G945" s="35"/>
      <c r="H945" s="34"/>
      <c r="I945" s="34"/>
      <c r="J945" s="34"/>
      <c r="K945" s="34"/>
      <c r="L945" s="34"/>
      <c r="M945" s="34"/>
      <c r="N945" s="34"/>
      <c r="O945" s="34"/>
    </row>
    <row r="946">
      <c r="A946" s="33"/>
      <c r="B946" s="34"/>
      <c r="C946" s="34"/>
      <c r="D946" s="35"/>
      <c r="E946" s="35"/>
      <c r="F946" s="35"/>
      <c r="G946" s="35"/>
      <c r="H946" s="34"/>
      <c r="I946" s="34"/>
      <c r="J946" s="34"/>
      <c r="K946" s="34"/>
      <c r="L946" s="34"/>
      <c r="M946" s="34"/>
      <c r="N946" s="34"/>
      <c r="O946" s="34"/>
    </row>
    <row r="947">
      <c r="A947" s="33"/>
      <c r="B947" s="34"/>
      <c r="C947" s="34"/>
      <c r="D947" s="35"/>
      <c r="E947" s="35"/>
      <c r="F947" s="35"/>
      <c r="G947" s="35"/>
      <c r="H947" s="34"/>
      <c r="I947" s="34"/>
      <c r="J947" s="34"/>
      <c r="K947" s="34"/>
      <c r="L947" s="34"/>
      <c r="M947" s="34"/>
      <c r="N947" s="34"/>
      <c r="O947" s="34"/>
    </row>
    <row r="948">
      <c r="A948" s="33"/>
      <c r="B948" s="34"/>
      <c r="C948" s="34"/>
      <c r="D948" s="35"/>
      <c r="E948" s="35"/>
      <c r="F948" s="35"/>
      <c r="G948" s="35"/>
      <c r="H948" s="34"/>
      <c r="I948" s="34"/>
      <c r="J948" s="34"/>
      <c r="K948" s="34"/>
      <c r="L948" s="34"/>
      <c r="M948" s="34"/>
      <c r="N948" s="34"/>
      <c r="O948" s="34"/>
    </row>
    <row r="949">
      <c r="A949" s="33"/>
      <c r="B949" s="34"/>
      <c r="C949" s="34"/>
      <c r="D949" s="35"/>
      <c r="E949" s="35"/>
      <c r="F949" s="35"/>
      <c r="G949" s="35"/>
      <c r="H949" s="34"/>
      <c r="I949" s="34"/>
      <c r="J949" s="34"/>
      <c r="K949" s="34"/>
      <c r="L949" s="34"/>
      <c r="M949" s="34"/>
      <c r="N949" s="34"/>
      <c r="O949" s="34"/>
    </row>
    <row r="950">
      <c r="A950" s="33"/>
      <c r="B950" s="34"/>
      <c r="C950" s="34"/>
      <c r="D950" s="35"/>
      <c r="E950" s="35"/>
      <c r="F950" s="35"/>
      <c r="G950" s="35"/>
      <c r="H950" s="34"/>
      <c r="I950" s="34"/>
      <c r="J950" s="34"/>
      <c r="K950" s="34"/>
      <c r="L950" s="34"/>
      <c r="M950" s="34"/>
      <c r="N950" s="34"/>
      <c r="O950" s="34"/>
    </row>
    <row r="951">
      <c r="A951" s="33"/>
      <c r="B951" s="34"/>
      <c r="C951" s="34"/>
      <c r="D951" s="35"/>
      <c r="E951" s="35"/>
      <c r="F951" s="35"/>
      <c r="G951" s="35"/>
      <c r="H951" s="34"/>
      <c r="I951" s="34"/>
      <c r="J951" s="34"/>
      <c r="K951" s="34"/>
      <c r="L951" s="34"/>
      <c r="M951" s="34"/>
      <c r="N951" s="34"/>
      <c r="O951" s="34"/>
    </row>
    <row r="952">
      <c r="A952" s="33"/>
      <c r="B952" s="34"/>
      <c r="C952" s="34"/>
      <c r="D952" s="35"/>
      <c r="E952" s="35"/>
      <c r="F952" s="35"/>
      <c r="G952" s="35"/>
      <c r="H952" s="34"/>
      <c r="I952" s="34"/>
      <c r="J952" s="34"/>
      <c r="K952" s="34"/>
      <c r="L952" s="34"/>
      <c r="M952" s="34"/>
      <c r="N952" s="34"/>
      <c r="O952" s="34"/>
    </row>
    <row r="953">
      <c r="A953" s="33"/>
      <c r="B953" s="34"/>
      <c r="C953" s="34"/>
      <c r="D953" s="35"/>
      <c r="E953" s="35"/>
      <c r="F953" s="35"/>
      <c r="G953" s="35"/>
      <c r="H953" s="34"/>
      <c r="I953" s="34"/>
      <c r="J953" s="34"/>
      <c r="K953" s="34"/>
      <c r="L953" s="34"/>
      <c r="M953" s="34"/>
      <c r="N953" s="34"/>
      <c r="O953" s="34"/>
    </row>
    <row r="954">
      <c r="A954" s="33"/>
      <c r="B954" s="34"/>
      <c r="C954" s="34"/>
      <c r="D954" s="35"/>
      <c r="E954" s="35"/>
      <c r="F954" s="35"/>
      <c r="G954" s="35"/>
      <c r="H954" s="34"/>
      <c r="I954" s="34"/>
      <c r="J954" s="34"/>
      <c r="K954" s="34"/>
      <c r="L954" s="34"/>
      <c r="M954" s="34"/>
      <c r="N954" s="34"/>
      <c r="O954" s="34"/>
    </row>
    <row r="955">
      <c r="A955" s="33"/>
      <c r="B955" s="34"/>
      <c r="C955" s="34"/>
      <c r="D955" s="35"/>
      <c r="E955" s="35"/>
      <c r="F955" s="35"/>
      <c r="G955" s="35"/>
      <c r="H955" s="34"/>
      <c r="I955" s="34"/>
      <c r="J955" s="34"/>
      <c r="K955" s="34"/>
      <c r="L955" s="34"/>
      <c r="M955" s="34"/>
      <c r="N955" s="34"/>
      <c r="O955" s="34"/>
    </row>
    <row r="956">
      <c r="A956" s="33"/>
      <c r="B956" s="34"/>
      <c r="C956" s="34"/>
      <c r="D956" s="35"/>
      <c r="E956" s="35"/>
      <c r="F956" s="35"/>
      <c r="G956" s="35"/>
      <c r="H956" s="34"/>
      <c r="I956" s="34"/>
      <c r="J956" s="34"/>
      <c r="K956" s="34"/>
      <c r="L956" s="34"/>
      <c r="M956" s="34"/>
      <c r="N956" s="34"/>
      <c r="O956" s="34"/>
    </row>
    <row r="957">
      <c r="A957" s="33"/>
      <c r="B957" s="34"/>
      <c r="C957" s="34"/>
      <c r="D957" s="35"/>
      <c r="E957" s="35"/>
      <c r="F957" s="35"/>
      <c r="G957" s="35"/>
      <c r="H957" s="34"/>
      <c r="I957" s="34"/>
      <c r="J957" s="34"/>
      <c r="K957" s="34"/>
      <c r="L957" s="34"/>
      <c r="M957" s="34"/>
      <c r="N957" s="34"/>
      <c r="O957" s="34"/>
    </row>
    <row r="958">
      <c r="A958" s="33"/>
      <c r="B958" s="34"/>
      <c r="C958" s="34"/>
      <c r="D958" s="35"/>
      <c r="E958" s="35"/>
      <c r="F958" s="35"/>
      <c r="G958" s="35"/>
      <c r="H958" s="34"/>
      <c r="I958" s="34"/>
      <c r="J958" s="34"/>
      <c r="K958" s="34"/>
      <c r="L958" s="34"/>
      <c r="M958" s="34"/>
      <c r="N958" s="34"/>
      <c r="O958" s="34"/>
    </row>
    <row r="959">
      <c r="A959" s="33"/>
      <c r="B959" s="34"/>
      <c r="C959" s="34"/>
      <c r="D959" s="35"/>
      <c r="E959" s="35"/>
      <c r="F959" s="35"/>
      <c r="G959" s="35"/>
      <c r="H959" s="34"/>
      <c r="I959" s="34"/>
      <c r="J959" s="34"/>
      <c r="K959" s="34"/>
      <c r="L959" s="34"/>
      <c r="M959" s="34"/>
      <c r="N959" s="34"/>
      <c r="O959" s="34"/>
    </row>
    <row r="960">
      <c r="A960" s="33"/>
      <c r="B960" s="34"/>
      <c r="C960" s="34"/>
      <c r="D960" s="35"/>
      <c r="E960" s="35"/>
      <c r="F960" s="35"/>
      <c r="G960" s="35"/>
      <c r="H960" s="34"/>
      <c r="I960" s="34"/>
      <c r="J960" s="34"/>
      <c r="K960" s="34"/>
      <c r="L960" s="34"/>
      <c r="M960" s="34"/>
      <c r="N960" s="34"/>
      <c r="O960" s="34"/>
    </row>
    <row r="961">
      <c r="A961" s="33"/>
      <c r="B961" s="34"/>
      <c r="C961" s="34"/>
      <c r="D961" s="35"/>
      <c r="E961" s="35"/>
      <c r="F961" s="35"/>
      <c r="G961" s="35"/>
      <c r="H961" s="34"/>
      <c r="I961" s="34"/>
      <c r="J961" s="34"/>
      <c r="K961" s="34"/>
      <c r="L961" s="34"/>
      <c r="M961" s="34"/>
      <c r="N961" s="34"/>
      <c r="O961" s="34"/>
    </row>
    <row r="962">
      <c r="A962" s="33"/>
      <c r="B962" s="34"/>
      <c r="C962" s="34"/>
      <c r="D962" s="35"/>
      <c r="E962" s="35"/>
      <c r="F962" s="35"/>
      <c r="G962" s="35"/>
      <c r="H962" s="34"/>
      <c r="I962" s="34"/>
      <c r="J962" s="34"/>
      <c r="K962" s="34"/>
      <c r="L962" s="34"/>
      <c r="M962" s="34"/>
      <c r="N962" s="34"/>
      <c r="O962" s="34"/>
    </row>
    <row r="963">
      <c r="A963" s="33"/>
      <c r="B963" s="34"/>
      <c r="C963" s="34"/>
      <c r="D963" s="35"/>
      <c r="E963" s="35"/>
      <c r="F963" s="35"/>
      <c r="G963" s="35"/>
      <c r="H963" s="34"/>
      <c r="I963" s="34"/>
      <c r="J963" s="34"/>
      <c r="K963" s="34"/>
      <c r="L963" s="34"/>
      <c r="M963" s="34"/>
      <c r="N963" s="34"/>
      <c r="O963" s="34"/>
    </row>
    <row r="964">
      <c r="A964" s="33"/>
      <c r="B964" s="34"/>
      <c r="C964" s="34"/>
      <c r="D964" s="35"/>
      <c r="E964" s="35"/>
      <c r="F964" s="35"/>
      <c r="G964" s="35"/>
      <c r="H964" s="34"/>
      <c r="I964" s="34"/>
      <c r="J964" s="34"/>
      <c r="K964" s="34"/>
      <c r="L964" s="34"/>
      <c r="M964" s="34"/>
      <c r="N964" s="34"/>
      <c r="O964" s="34"/>
    </row>
    <row r="965">
      <c r="A965" s="33"/>
      <c r="B965" s="34"/>
      <c r="C965" s="34"/>
      <c r="D965" s="35"/>
      <c r="E965" s="35"/>
      <c r="F965" s="35"/>
      <c r="G965" s="35"/>
      <c r="H965" s="34"/>
      <c r="I965" s="34"/>
      <c r="J965" s="34"/>
      <c r="K965" s="34"/>
      <c r="L965" s="34"/>
      <c r="M965" s="34"/>
      <c r="N965" s="34"/>
      <c r="O965" s="34"/>
    </row>
    <row r="966">
      <c r="A966" s="33"/>
      <c r="B966" s="34"/>
      <c r="C966" s="34"/>
      <c r="D966" s="35"/>
      <c r="E966" s="35"/>
      <c r="F966" s="35"/>
      <c r="G966" s="35"/>
      <c r="H966" s="34"/>
      <c r="I966" s="34"/>
      <c r="J966" s="34"/>
      <c r="K966" s="34"/>
      <c r="L966" s="34"/>
      <c r="M966" s="34"/>
      <c r="N966" s="34"/>
      <c r="O966" s="34"/>
    </row>
    <row r="967">
      <c r="A967" s="33"/>
      <c r="B967" s="34"/>
      <c r="C967" s="34"/>
      <c r="D967" s="35"/>
      <c r="E967" s="35"/>
      <c r="F967" s="35"/>
      <c r="G967" s="35"/>
      <c r="H967" s="34"/>
      <c r="I967" s="34"/>
      <c r="J967" s="34"/>
      <c r="K967" s="34"/>
      <c r="L967" s="34"/>
      <c r="M967" s="34"/>
      <c r="N967" s="34"/>
      <c r="O967" s="34"/>
    </row>
    <row r="968">
      <c r="A968" s="33"/>
      <c r="B968" s="34"/>
      <c r="C968" s="34"/>
      <c r="D968" s="35"/>
      <c r="E968" s="35"/>
      <c r="F968" s="35"/>
      <c r="G968" s="35"/>
      <c r="H968" s="34"/>
      <c r="I968" s="34"/>
      <c r="J968" s="34"/>
      <c r="K968" s="34"/>
      <c r="L968" s="34"/>
      <c r="M968" s="34"/>
      <c r="N968" s="34"/>
      <c r="O968" s="34"/>
    </row>
    <row r="969">
      <c r="A969" s="33"/>
      <c r="B969" s="34"/>
      <c r="C969" s="34"/>
      <c r="D969" s="35"/>
      <c r="E969" s="35"/>
      <c r="F969" s="35"/>
      <c r="G969" s="35"/>
      <c r="H969" s="34"/>
      <c r="I969" s="34"/>
      <c r="J969" s="34"/>
      <c r="K969" s="34"/>
      <c r="L969" s="34"/>
      <c r="M969" s="34"/>
      <c r="N969" s="34"/>
      <c r="O969" s="34"/>
    </row>
    <row r="970">
      <c r="A970" s="33"/>
      <c r="B970" s="34"/>
      <c r="C970" s="34"/>
      <c r="D970" s="35"/>
      <c r="E970" s="35"/>
      <c r="F970" s="35"/>
      <c r="G970" s="35"/>
      <c r="H970" s="34"/>
      <c r="I970" s="34"/>
      <c r="J970" s="34"/>
      <c r="K970" s="34"/>
      <c r="L970" s="34"/>
      <c r="M970" s="34"/>
      <c r="N970" s="34"/>
      <c r="O970" s="34"/>
    </row>
    <row r="971">
      <c r="A971" s="33"/>
      <c r="B971" s="34"/>
      <c r="C971" s="34"/>
      <c r="D971" s="35"/>
      <c r="E971" s="35"/>
      <c r="F971" s="35"/>
      <c r="G971" s="35"/>
      <c r="H971" s="34"/>
      <c r="I971" s="34"/>
      <c r="J971" s="34"/>
      <c r="K971" s="34"/>
      <c r="L971" s="34"/>
      <c r="M971" s="34"/>
      <c r="N971" s="34"/>
      <c r="O971" s="34"/>
    </row>
    <row r="972">
      <c r="A972" s="33"/>
      <c r="B972" s="34"/>
      <c r="C972" s="34"/>
      <c r="D972" s="35"/>
      <c r="E972" s="35"/>
      <c r="F972" s="35"/>
      <c r="G972" s="35"/>
      <c r="H972" s="34"/>
      <c r="I972" s="34"/>
      <c r="J972" s="34"/>
      <c r="K972" s="34"/>
      <c r="L972" s="34"/>
      <c r="M972" s="34"/>
      <c r="N972" s="34"/>
      <c r="O972" s="34"/>
    </row>
    <row r="973">
      <c r="A973" s="33"/>
      <c r="B973" s="34"/>
      <c r="C973" s="34"/>
      <c r="D973" s="35"/>
      <c r="E973" s="35"/>
      <c r="F973" s="35"/>
      <c r="G973" s="35"/>
      <c r="H973" s="34"/>
      <c r="I973" s="34"/>
      <c r="J973" s="34"/>
      <c r="K973" s="34"/>
      <c r="L973" s="34"/>
      <c r="M973" s="34"/>
      <c r="N973" s="34"/>
      <c r="O973" s="34"/>
    </row>
    <row r="974">
      <c r="A974" s="33"/>
      <c r="B974" s="34"/>
      <c r="C974" s="34"/>
      <c r="D974" s="35"/>
      <c r="E974" s="35"/>
      <c r="F974" s="35"/>
      <c r="G974" s="35"/>
      <c r="H974" s="34"/>
      <c r="I974" s="34"/>
      <c r="J974" s="34"/>
      <c r="K974" s="34"/>
      <c r="L974" s="34"/>
      <c r="M974" s="34"/>
      <c r="N974" s="34"/>
      <c r="O974" s="34"/>
    </row>
    <row r="975">
      <c r="A975" s="33"/>
      <c r="B975" s="34"/>
      <c r="C975" s="34"/>
      <c r="D975" s="35"/>
      <c r="E975" s="35"/>
      <c r="F975" s="35"/>
      <c r="G975" s="35"/>
      <c r="H975" s="34"/>
      <c r="I975" s="34"/>
      <c r="J975" s="34"/>
      <c r="K975" s="34"/>
      <c r="L975" s="34"/>
      <c r="M975" s="34"/>
      <c r="N975" s="34"/>
      <c r="O975" s="34"/>
    </row>
    <row r="976">
      <c r="A976" s="33"/>
      <c r="B976" s="34"/>
      <c r="C976" s="34"/>
      <c r="D976" s="35"/>
      <c r="E976" s="35"/>
      <c r="F976" s="35"/>
      <c r="G976" s="35"/>
      <c r="H976" s="34"/>
      <c r="I976" s="34"/>
      <c r="J976" s="34"/>
      <c r="K976" s="34"/>
      <c r="L976" s="34"/>
      <c r="M976" s="34"/>
      <c r="N976" s="34"/>
      <c r="O976" s="34"/>
    </row>
    <row r="977">
      <c r="A977" s="33"/>
      <c r="B977" s="34"/>
      <c r="C977" s="34"/>
      <c r="D977" s="35"/>
      <c r="E977" s="35"/>
      <c r="F977" s="35"/>
      <c r="G977" s="35"/>
      <c r="H977" s="34"/>
      <c r="I977" s="34"/>
      <c r="J977" s="34"/>
      <c r="K977" s="34"/>
      <c r="L977" s="34"/>
      <c r="M977" s="34"/>
      <c r="N977" s="34"/>
      <c r="O977" s="34"/>
    </row>
    <row r="978">
      <c r="A978" s="33"/>
      <c r="B978" s="34"/>
      <c r="C978" s="34"/>
      <c r="D978" s="35"/>
      <c r="E978" s="35"/>
      <c r="F978" s="35"/>
      <c r="G978" s="35"/>
      <c r="H978" s="34"/>
      <c r="I978" s="34"/>
      <c r="J978" s="34"/>
      <c r="K978" s="34"/>
      <c r="L978" s="34"/>
      <c r="M978" s="34"/>
      <c r="N978" s="34"/>
      <c r="O978" s="34"/>
    </row>
    <row r="979">
      <c r="A979" s="33"/>
      <c r="B979" s="34"/>
      <c r="C979" s="34"/>
      <c r="D979" s="35"/>
      <c r="E979" s="35"/>
      <c r="F979" s="35"/>
      <c r="G979" s="35"/>
      <c r="H979" s="34"/>
      <c r="I979" s="34"/>
      <c r="J979" s="34"/>
      <c r="K979" s="34"/>
      <c r="L979" s="34"/>
      <c r="M979" s="34"/>
      <c r="N979" s="34"/>
      <c r="O979" s="34"/>
    </row>
    <row r="980">
      <c r="A980" s="33"/>
      <c r="B980" s="34"/>
      <c r="C980" s="34"/>
      <c r="D980" s="35"/>
      <c r="E980" s="35"/>
      <c r="F980" s="35"/>
      <c r="G980" s="35"/>
      <c r="H980" s="34"/>
      <c r="I980" s="34"/>
      <c r="J980" s="34"/>
      <c r="K980" s="34"/>
      <c r="L980" s="34"/>
      <c r="M980" s="34"/>
      <c r="N980" s="34"/>
      <c r="O980" s="34"/>
    </row>
    <row r="981">
      <c r="A981" s="33"/>
      <c r="B981" s="34"/>
      <c r="C981" s="34"/>
      <c r="D981" s="35"/>
      <c r="E981" s="35"/>
      <c r="F981" s="35"/>
      <c r="G981" s="35"/>
      <c r="H981" s="34"/>
      <c r="I981" s="34"/>
      <c r="J981" s="34"/>
      <c r="K981" s="34"/>
      <c r="L981" s="34"/>
      <c r="M981" s="34"/>
      <c r="N981" s="34"/>
      <c r="O981" s="34"/>
    </row>
    <row r="982">
      <c r="A982" s="33"/>
      <c r="B982" s="34"/>
      <c r="C982" s="34"/>
      <c r="D982" s="35"/>
      <c r="E982" s="35"/>
      <c r="F982" s="35"/>
      <c r="G982" s="35"/>
      <c r="H982" s="34"/>
      <c r="I982" s="34"/>
      <c r="J982" s="34"/>
      <c r="K982" s="34"/>
      <c r="L982" s="34"/>
      <c r="M982" s="34"/>
      <c r="N982" s="34"/>
      <c r="O982" s="34"/>
    </row>
    <row r="983">
      <c r="A983" s="33"/>
      <c r="B983" s="34"/>
      <c r="C983" s="34"/>
      <c r="D983" s="35"/>
      <c r="E983" s="35"/>
      <c r="F983" s="35"/>
      <c r="G983" s="35"/>
      <c r="H983" s="34"/>
      <c r="I983" s="34"/>
      <c r="J983" s="34"/>
      <c r="K983" s="34"/>
      <c r="L983" s="34"/>
      <c r="M983" s="34"/>
      <c r="N983" s="34"/>
      <c r="O983" s="34"/>
    </row>
    <row r="984">
      <c r="A984" s="33"/>
      <c r="B984" s="34"/>
      <c r="C984" s="34"/>
      <c r="D984" s="35"/>
      <c r="E984" s="35"/>
      <c r="F984" s="35"/>
      <c r="G984" s="35"/>
      <c r="H984" s="34"/>
      <c r="I984" s="34"/>
      <c r="J984" s="34"/>
      <c r="K984" s="34"/>
      <c r="L984" s="34"/>
      <c r="M984" s="34"/>
      <c r="N984" s="34"/>
      <c r="O984" s="34"/>
    </row>
    <row r="985">
      <c r="A985" s="33"/>
      <c r="B985" s="34"/>
      <c r="C985" s="34"/>
      <c r="D985" s="35"/>
      <c r="E985" s="35"/>
      <c r="F985" s="35"/>
      <c r="G985" s="35"/>
      <c r="H985" s="34"/>
      <c r="I985" s="34"/>
      <c r="J985" s="34"/>
      <c r="K985" s="34"/>
      <c r="L985" s="34"/>
      <c r="M985" s="34"/>
      <c r="N985" s="34"/>
      <c r="O985" s="34"/>
    </row>
    <row r="986">
      <c r="A986" s="33"/>
      <c r="B986" s="34"/>
      <c r="C986" s="34"/>
      <c r="D986" s="35"/>
      <c r="E986" s="35"/>
      <c r="F986" s="35"/>
      <c r="G986" s="35"/>
      <c r="H986" s="34"/>
      <c r="I986" s="34"/>
      <c r="J986" s="34"/>
      <c r="K986" s="34"/>
      <c r="L986" s="34"/>
      <c r="M986" s="34"/>
      <c r="N986" s="34"/>
      <c r="O986" s="34"/>
    </row>
    <row r="987">
      <c r="A987" s="33"/>
      <c r="B987" s="34"/>
      <c r="C987" s="34"/>
      <c r="D987" s="35"/>
      <c r="E987" s="35"/>
      <c r="F987" s="35"/>
      <c r="G987" s="35"/>
      <c r="H987" s="34"/>
      <c r="I987" s="34"/>
      <c r="J987" s="34"/>
      <c r="K987" s="34"/>
      <c r="L987" s="34"/>
      <c r="M987" s="34"/>
      <c r="N987" s="34"/>
      <c r="O987" s="34"/>
    </row>
    <row r="988">
      <c r="A988" s="33"/>
      <c r="B988" s="34"/>
      <c r="C988" s="34"/>
      <c r="D988" s="35"/>
      <c r="E988" s="35"/>
      <c r="F988" s="35"/>
      <c r="G988" s="35"/>
      <c r="H988" s="34"/>
      <c r="I988" s="34"/>
      <c r="J988" s="34"/>
      <c r="K988" s="34"/>
      <c r="L988" s="34"/>
      <c r="M988" s="34"/>
      <c r="N988" s="34"/>
      <c r="O988" s="34"/>
    </row>
    <row r="989">
      <c r="A989" s="33"/>
      <c r="B989" s="34"/>
      <c r="C989" s="34"/>
      <c r="D989" s="35"/>
      <c r="E989" s="35"/>
      <c r="F989" s="35"/>
      <c r="G989" s="35"/>
      <c r="H989" s="34"/>
      <c r="I989" s="34"/>
      <c r="J989" s="34"/>
      <c r="K989" s="34"/>
      <c r="L989" s="34"/>
      <c r="M989" s="34"/>
      <c r="N989" s="34"/>
      <c r="O989" s="34"/>
    </row>
    <row r="990">
      <c r="A990" s="33"/>
      <c r="B990" s="34"/>
      <c r="C990" s="34"/>
      <c r="D990" s="35"/>
      <c r="E990" s="35"/>
      <c r="F990" s="35"/>
      <c r="G990" s="35"/>
      <c r="H990" s="34"/>
      <c r="I990" s="34"/>
      <c r="J990" s="34"/>
      <c r="K990" s="34"/>
      <c r="L990" s="34"/>
      <c r="M990" s="34"/>
      <c r="N990" s="34"/>
      <c r="O990" s="34"/>
    </row>
    <row r="991">
      <c r="A991" s="33"/>
      <c r="B991" s="34"/>
      <c r="C991" s="34"/>
      <c r="D991" s="35"/>
      <c r="E991" s="35"/>
      <c r="F991" s="35"/>
      <c r="G991" s="35"/>
      <c r="H991" s="34"/>
      <c r="I991" s="34"/>
      <c r="J991" s="34"/>
      <c r="K991" s="34"/>
      <c r="L991" s="34"/>
      <c r="M991" s="34"/>
      <c r="N991" s="34"/>
      <c r="O991" s="34"/>
    </row>
    <row r="992">
      <c r="A992" s="33"/>
      <c r="B992" s="34"/>
      <c r="C992" s="34"/>
      <c r="D992" s="35"/>
      <c r="E992" s="35"/>
      <c r="F992" s="35"/>
      <c r="G992" s="35"/>
      <c r="H992" s="34"/>
      <c r="I992" s="34"/>
      <c r="J992" s="34"/>
      <c r="K992" s="34"/>
      <c r="L992" s="34"/>
      <c r="M992" s="34"/>
      <c r="N992" s="34"/>
      <c r="O992" s="34"/>
    </row>
    <row r="993">
      <c r="A993" s="33"/>
      <c r="B993" s="34"/>
      <c r="C993" s="34"/>
      <c r="D993" s="35"/>
      <c r="E993" s="35"/>
      <c r="F993" s="35"/>
      <c r="G993" s="35"/>
      <c r="H993" s="34"/>
      <c r="I993" s="34"/>
      <c r="J993" s="34"/>
      <c r="K993" s="34"/>
      <c r="L993" s="34"/>
      <c r="M993" s="34"/>
      <c r="N993" s="34"/>
      <c r="O993" s="34"/>
    </row>
    <row r="994">
      <c r="A994" s="33"/>
      <c r="B994" s="34"/>
      <c r="C994" s="34"/>
      <c r="D994" s="35"/>
      <c r="E994" s="35"/>
      <c r="F994" s="35"/>
      <c r="G994" s="35"/>
      <c r="H994" s="34"/>
      <c r="I994" s="34"/>
      <c r="J994" s="34"/>
      <c r="K994" s="34"/>
      <c r="L994" s="34"/>
      <c r="M994" s="34"/>
      <c r="N994" s="34"/>
      <c r="O994" s="34"/>
    </row>
    <row r="995">
      <c r="A995" s="33"/>
      <c r="B995" s="34"/>
      <c r="C995" s="34"/>
      <c r="D995" s="35"/>
      <c r="E995" s="35"/>
      <c r="F995" s="35"/>
      <c r="G995" s="35"/>
      <c r="H995" s="34"/>
      <c r="I995" s="34"/>
      <c r="J995" s="34"/>
      <c r="K995" s="34"/>
      <c r="L995" s="34"/>
      <c r="M995" s="34"/>
      <c r="N995" s="34"/>
      <c r="O995" s="34"/>
    </row>
    <row r="996">
      <c r="A996" s="33"/>
      <c r="B996" s="34"/>
      <c r="C996" s="34"/>
      <c r="D996" s="35"/>
      <c r="E996" s="35"/>
      <c r="F996" s="35"/>
      <c r="G996" s="35"/>
      <c r="H996" s="34"/>
      <c r="I996" s="34"/>
      <c r="J996" s="34"/>
      <c r="K996" s="34"/>
      <c r="L996" s="34"/>
      <c r="M996" s="34"/>
      <c r="N996" s="34"/>
      <c r="O996" s="34"/>
    </row>
    <row r="997">
      <c r="A997" s="33"/>
      <c r="B997" s="34"/>
      <c r="C997" s="34"/>
      <c r="D997" s="35"/>
      <c r="E997" s="35"/>
      <c r="F997" s="35"/>
      <c r="G997" s="35"/>
      <c r="H997" s="34"/>
      <c r="I997" s="34"/>
      <c r="J997" s="34"/>
      <c r="K997" s="34"/>
      <c r="L997" s="34"/>
      <c r="M997" s="34"/>
      <c r="N997" s="34"/>
      <c r="O997" s="34"/>
    </row>
    <row r="998">
      <c r="A998" s="33"/>
      <c r="B998" s="34"/>
      <c r="C998" s="34"/>
      <c r="D998" s="35"/>
      <c r="E998" s="35"/>
      <c r="F998" s="35"/>
      <c r="G998" s="35"/>
      <c r="H998" s="34"/>
      <c r="I998" s="34"/>
      <c r="J998" s="34"/>
      <c r="K998" s="34"/>
      <c r="L998" s="34"/>
      <c r="M998" s="34"/>
      <c r="N998" s="34"/>
      <c r="O998" s="34"/>
    </row>
    <row r="999">
      <c r="A999" s="33"/>
      <c r="B999" s="34"/>
      <c r="C999" s="34"/>
      <c r="D999" s="35"/>
      <c r="E999" s="35"/>
      <c r="F999" s="35"/>
      <c r="G999" s="35"/>
      <c r="H999" s="34"/>
      <c r="I999" s="34"/>
      <c r="J999" s="34"/>
      <c r="K999" s="34"/>
      <c r="L999" s="34"/>
      <c r="M999" s="34"/>
      <c r="N999" s="34"/>
      <c r="O999" s="34"/>
    </row>
    <row r="1000">
      <c r="A1000" s="33"/>
      <c r="B1000" s="34"/>
      <c r="C1000" s="34"/>
      <c r="D1000" s="35"/>
      <c r="E1000" s="35"/>
      <c r="F1000" s="35"/>
      <c r="G1000" s="35"/>
      <c r="H1000" s="34"/>
      <c r="I1000" s="34"/>
      <c r="J1000" s="34"/>
      <c r="K1000" s="34"/>
      <c r="L1000" s="34"/>
      <c r="M1000" s="34"/>
      <c r="N1000" s="34"/>
      <c r="O1000" s="34"/>
    </row>
    <row r="1001">
      <c r="A1001" s="33"/>
      <c r="B1001" s="34"/>
      <c r="C1001" s="34"/>
      <c r="D1001" s="35"/>
      <c r="E1001" s="35"/>
      <c r="F1001" s="35"/>
      <c r="G1001" s="35"/>
      <c r="H1001" s="34"/>
      <c r="I1001" s="34"/>
      <c r="J1001" s="34"/>
      <c r="K1001" s="34"/>
      <c r="L1001" s="34"/>
      <c r="M1001" s="34"/>
      <c r="N1001" s="34"/>
      <c r="O1001" s="34"/>
    </row>
    <row r="1002">
      <c r="A1002" s="33"/>
      <c r="B1002" s="34"/>
      <c r="C1002" s="34"/>
      <c r="D1002" s="35"/>
      <c r="E1002" s="35"/>
      <c r="F1002" s="35"/>
      <c r="G1002" s="35"/>
      <c r="H1002" s="34"/>
      <c r="I1002" s="34"/>
      <c r="J1002" s="34"/>
      <c r="K1002" s="34"/>
      <c r="L1002" s="34"/>
      <c r="M1002" s="34"/>
      <c r="N1002" s="34"/>
      <c r="O1002" s="34"/>
    </row>
    <row r="1003">
      <c r="A1003" s="33"/>
      <c r="B1003" s="34"/>
      <c r="C1003" s="34"/>
      <c r="D1003" s="35"/>
      <c r="E1003" s="35"/>
      <c r="F1003" s="35"/>
      <c r="G1003" s="35"/>
      <c r="H1003" s="34"/>
      <c r="I1003" s="34"/>
      <c r="J1003" s="34"/>
      <c r="K1003" s="34"/>
      <c r="L1003" s="34"/>
      <c r="M1003" s="34"/>
      <c r="N1003" s="34"/>
      <c r="O1003" s="34"/>
    </row>
    <row r="1004">
      <c r="A1004" s="33"/>
      <c r="B1004" s="34"/>
      <c r="C1004" s="34"/>
      <c r="D1004" s="35"/>
      <c r="E1004" s="35"/>
      <c r="F1004" s="35"/>
      <c r="G1004" s="35"/>
      <c r="H1004" s="34"/>
      <c r="I1004" s="34"/>
      <c r="J1004" s="34"/>
      <c r="K1004" s="34"/>
      <c r="L1004" s="34"/>
      <c r="M1004" s="34"/>
      <c r="N1004" s="34"/>
      <c r="O1004" s="34"/>
    </row>
    <row r="1005">
      <c r="A1005" s="33"/>
      <c r="B1005" s="34"/>
      <c r="C1005" s="34"/>
      <c r="D1005" s="35"/>
      <c r="E1005" s="35"/>
      <c r="F1005" s="35"/>
      <c r="G1005" s="35"/>
      <c r="H1005" s="34"/>
      <c r="I1005" s="34"/>
      <c r="J1005" s="34"/>
      <c r="K1005" s="34"/>
      <c r="L1005" s="34"/>
      <c r="M1005" s="34"/>
      <c r="N1005" s="34"/>
      <c r="O1005" s="34"/>
    </row>
    <row r="1006">
      <c r="A1006" s="33"/>
      <c r="B1006" s="34"/>
      <c r="C1006" s="34"/>
      <c r="D1006" s="35"/>
      <c r="E1006" s="35"/>
      <c r="F1006" s="35"/>
      <c r="G1006" s="35"/>
      <c r="H1006" s="34"/>
      <c r="I1006" s="34"/>
      <c r="J1006" s="34"/>
      <c r="K1006" s="34"/>
      <c r="L1006" s="34"/>
      <c r="M1006" s="34"/>
      <c r="N1006" s="34"/>
      <c r="O1006" s="34"/>
    </row>
    <row r="1007">
      <c r="A1007" s="33"/>
      <c r="B1007" s="34"/>
      <c r="C1007" s="34"/>
      <c r="D1007" s="35"/>
      <c r="E1007" s="35"/>
      <c r="F1007" s="35"/>
      <c r="G1007" s="35"/>
      <c r="H1007" s="34"/>
      <c r="I1007" s="34"/>
      <c r="J1007" s="34"/>
      <c r="K1007" s="34"/>
      <c r="L1007" s="34"/>
      <c r="M1007" s="34"/>
      <c r="N1007" s="34"/>
      <c r="O1007" s="34"/>
    </row>
    <row r="1008">
      <c r="A1008" s="33"/>
      <c r="B1008" s="34"/>
      <c r="C1008" s="34"/>
      <c r="D1008" s="35"/>
      <c r="E1008" s="35"/>
      <c r="F1008" s="35"/>
      <c r="G1008" s="35"/>
      <c r="H1008" s="34"/>
      <c r="I1008" s="34"/>
      <c r="J1008" s="34"/>
      <c r="K1008" s="34"/>
      <c r="L1008" s="34"/>
      <c r="M1008" s="34"/>
      <c r="N1008" s="34"/>
      <c r="O1008" s="34"/>
    </row>
    <row r="1009">
      <c r="A1009" s="33"/>
      <c r="B1009" s="34"/>
      <c r="C1009" s="34"/>
      <c r="D1009" s="35"/>
      <c r="E1009" s="35"/>
      <c r="F1009" s="35"/>
      <c r="G1009" s="35"/>
      <c r="H1009" s="34"/>
      <c r="I1009" s="34"/>
      <c r="J1009" s="34"/>
      <c r="K1009" s="34"/>
      <c r="L1009" s="34"/>
      <c r="M1009" s="34"/>
      <c r="N1009" s="34"/>
      <c r="O1009" s="34"/>
    </row>
    <row r="1010">
      <c r="A1010" s="33"/>
      <c r="B1010" s="34"/>
      <c r="C1010" s="34"/>
      <c r="D1010" s="35"/>
      <c r="E1010" s="35"/>
      <c r="F1010" s="35"/>
      <c r="G1010" s="35"/>
      <c r="H1010" s="34"/>
      <c r="I1010" s="34"/>
      <c r="J1010" s="34"/>
      <c r="K1010" s="34"/>
      <c r="L1010" s="34"/>
      <c r="M1010" s="34"/>
      <c r="N1010" s="34"/>
      <c r="O1010" s="34"/>
    </row>
    <row r="1011">
      <c r="A1011" s="33"/>
      <c r="B1011" s="34"/>
      <c r="C1011" s="34"/>
      <c r="D1011" s="35"/>
      <c r="E1011" s="35"/>
      <c r="F1011" s="35"/>
      <c r="G1011" s="35"/>
      <c r="H1011" s="34"/>
      <c r="I1011" s="34"/>
      <c r="J1011" s="34"/>
      <c r="K1011" s="34"/>
      <c r="L1011" s="34"/>
      <c r="M1011" s="34"/>
      <c r="N1011" s="34"/>
      <c r="O1011" s="34"/>
    </row>
    <row r="1012">
      <c r="A1012" s="33"/>
      <c r="B1012" s="34"/>
      <c r="C1012" s="34"/>
      <c r="D1012" s="35"/>
      <c r="E1012" s="35"/>
      <c r="F1012" s="35"/>
      <c r="G1012" s="35"/>
      <c r="H1012" s="34"/>
      <c r="I1012" s="34"/>
      <c r="J1012" s="34"/>
      <c r="K1012" s="34"/>
      <c r="L1012" s="34"/>
      <c r="M1012" s="34"/>
      <c r="N1012" s="34"/>
      <c r="O1012" s="34"/>
    </row>
    <row r="1013">
      <c r="A1013" s="33"/>
      <c r="B1013" s="34"/>
      <c r="C1013" s="34"/>
      <c r="D1013" s="35"/>
      <c r="E1013" s="35"/>
      <c r="F1013" s="35"/>
      <c r="G1013" s="35"/>
      <c r="H1013" s="34"/>
      <c r="I1013" s="34"/>
      <c r="J1013" s="34"/>
      <c r="K1013" s="34"/>
      <c r="L1013" s="34"/>
      <c r="M1013" s="34"/>
      <c r="N1013" s="34"/>
      <c r="O1013" s="34"/>
    </row>
    <row r="1014">
      <c r="A1014" s="33"/>
      <c r="B1014" s="34"/>
      <c r="C1014" s="34"/>
      <c r="D1014" s="35"/>
      <c r="E1014" s="35"/>
      <c r="F1014" s="35"/>
      <c r="G1014" s="35"/>
      <c r="H1014" s="34"/>
      <c r="I1014" s="34"/>
      <c r="J1014" s="34"/>
      <c r="K1014" s="34"/>
      <c r="L1014" s="34"/>
      <c r="M1014" s="34"/>
      <c r="N1014" s="34"/>
      <c r="O1014" s="34"/>
    </row>
    <row r="1015">
      <c r="A1015" s="33"/>
      <c r="B1015" s="34"/>
      <c r="C1015" s="34"/>
      <c r="D1015" s="35"/>
      <c r="E1015" s="35"/>
      <c r="F1015" s="35"/>
      <c r="G1015" s="35"/>
      <c r="H1015" s="34"/>
      <c r="I1015" s="34"/>
      <c r="J1015" s="34"/>
      <c r="K1015" s="34"/>
      <c r="L1015" s="34"/>
      <c r="M1015" s="34"/>
      <c r="N1015" s="34"/>
      <c r="O1015" s="34"/>
    </row>
    <row r="1016">
      <c r="A1016" s="33"/>
      <c r="B1016" s="34"/>
      <c r="C1016" s="34"/>
      <c r="D1016" s="35"/>
      <c r="E1016" s="35"/>
      <c r="F1016" s="35"/>
      <c r="G1016" s="35"/>
      <c r="H1016" s="34"/>
      <c r="I1016" s="34"/>
      <c r="J1016" s="34"/>
      <c r="K1016" s="34"/>
      <c r="L1016" s="34"/>
      <c r="M1016" s="34"/>
      <c r="N1016" s="34"/>
      <c r="O1016" s="34"/>
    </row>
    <row r="1017">
      <c r="A1017" s="33"/>
      <c r="B1017" s="34"/>
      <c r="C1017" s="34"/>
      <c r="D1017" s="35"/>
      <c r="E1017" s="35"/>
      <c r="F1017" s="35"/>
      <c r="G1017" s="35"/>
      <c r="H1017" s="34"/>
      <c r="I1017" s="34"/>
      <c r="J1017" s="34"/>
      <c r="K1017" s="34"/>
      <c r="L1017" s="34"/>
      <c r="M1017" s="34"/>
      <c r="N1017" s="34"/>
      <c r="O1017" s="34"/>
    </row>
    <row r="1018">
      <c r="A1018" s="33"/>
      <c r="B1018" s="34"/>
      <c r="C1018" s="34"/>
      <c r="D1018" s="35"/>
      <c r="E1018" s="35"/>
      <c r="F1018" s="35"/>
      <c r="G1018" s="35"/>
      <c r="H1018" s="34"/>
      <c r="I1018" s="34"/>
      <c r="J1018" s="34"/>
      <c r="K1018" s="34"/>
      <c r="L1018" s="34"/>
      <c r="M1018" s="34"/>
      <c r="N1018" s="34"/>
      <c r="O1018" s="34"/>
    </row>
    <row r="1019">
      <c r="A1019" s="33"/>
      <c r="B1019" s="34"/>
      <c r="C1019" s="34"/>
      <c r="D1019" s="35"/>
      <c r="E1019" s="35"/>
      <c r="F1019" s="35"/>
      <c r="G1019" s="35"/>
      <c r="H1019" s="34"/>
      <c r="I1019" s="34"/>
      <c r="J1019" s="34"/>
      <c r="K1019" s="34"/>
      <c r="L1019" s="34"/>
      <c r="M1019" s="34"/>
      <c r="N1019" s="34"/>
      <c r="O1019" s="34"/>
    </row>
    <row r="1020">
      <c r="A1020" s="33"/>
      <c r="B1020" s="34"/>
      <c r="C1020" s="34"/>
      <c r="D1020" s="35"/>
      <c r="E1020" s="35"/>
      <c r="F1020" s="35"/>
      <c r="G1020" s="35"/>
      <c r="H1020" s="34"/>
      <c r="I1020" s="34"/>
      <c r="J1020" s="34"/>
      <c r="K1020" s="34"/>
      <c r="L1020" s="34"/>
      <c r="M1020" s="34"/>
      <c r="N1020" s="34"/>
      <c r="O1020" s="34"/>
    </row>
    <row r="1021">
      <c r="A1021" s="33"/>
      <c r="B1021" s="34"/>
      <c r="C1021" s="34"/>
      <c r="D1021" s="35"/>
      <c r="E1021" s="35"/>
      <c r="F1021" s="35"/>
      <c r="G1021" s="35"/>
      <c r="H1021" s="34"/>
      <c r="I1021" s="34"/>
      <c r="J1021" s="34"/>
      <c r="K1021" s="34"/>
      <c r="L1021" s="34"/>
      <c r="M1021" s="34"/>
      <c r="N1021" s="34"/>
      <c r="O1021" s="34"/>
    </row>
    <row r="1022">
      <c r="A1022" s="33"/>
      <c r="B1022" s="34"/>
      <c r="C1022" s="34"/>
      <c r="D1022" s="35"/>
      <c r="E1022" s="35"/>
      <c r="F1022" s="35"/>
      <c r="G1022" s="35"/>
      <c r="H1022" s="34"/>
      <c r="I1022" s="34"/>
      <c r="J1022" s="34"/>
      <c r="K1022" s="34"/>
      <c r="L1022" s="34"/>
      <c r="M1022" s="34"/>
      <c r="N1022" s="34"/>
      <c r="O1022" s="34"/>
    </row>
    <row r="1023">
      <c r="A1023" s="33"/>
      <c r="B1023" s="34"/>
      <c r="C1023" s="34"/>
      <c r="D1023" s="35"/>
      <c r="E1023" s="35"/>
      <c r="F1023" s="35"/>
      <c r="G1023" s="35"/>
      <c r="H1023" s="34"/>
      <c r="I1023" s="34"/>
      <c r="J1023" s="34"/>
      <c r="K1023" s="34"/>
      <c r="L1023" s="34"/>
      <c r="M1023" s="34"/>
      <c r="N1023" s="34"/>
      <c r="O1023" s="34"/>
    </row>
    <row r="1024">
      <c r="A1024" s="33"/>
      <c r="B1024" s="34"/>
      <c r="C1024" s="34"/>
      <c r="D1024" s="35"/>
      <c r="E1024" s="35"/>
      <c r="F1024" s="35"/>
      <c r="G1024" s="35"/>
      <c r="H1024" s="34"/>
      <c r="I1024" s="34"/>
      <c r="J1024" s="34"/>
      <c r="K1024" s="34"/>
      <c r="L1024" s="34"/>
      <c r="M1024" s="34"/>
      <c r="N1024" s="34"/>
      <c r="O1024" s="34"/>
    </row>
    <row r="1025">
      <c r="A1025" s="33"/>
      <c r="B1025" s="34"/>
      <c r="C1025" s="34"/>
      <c r="D1025" s="35"/>
      <c r="E1025" s="35"/>
      <c r="F1025" s="35"/>
      <c r="G1025" s="35"/>
      <c r="H1025" s="34"/>
      <c r="I1025" s="34"/>
      <c r="J1025" s="34"/>
      <c r="K1025" s="34"/>
      <c r="L1025" s="34"/>
      <c r="M1025" s="34"/>
      <c r="N1025" s="34"/>
      <c r="O1025" s="34"/>
    </row>
    <row r="1026">
      <c r="A1026" s="33"/>
      <c r="B1026" s="34"/>
      <c r="C1026" s="34"/>
      <c r="D1026" s="35"/>
      <c r="E1026" s="35"/>
      <c r="F1026" s="35"/>
      <c r="G1026" s="35"/>
      <c r="H1026" s="34"/>
      <c r="I1026" s="34"/>
      <c r="J1026" s="34"/>
      <c r="K1026" s="34"/>
      <c r="L1026" s="34"/>
      <c r="M1026" s="34"/>
      <c r="N1026" s="34"/>
      <c r="O1026" s="34"/>
    </row>
    <row r="1027">
      <c r="A1027" s="33"/>
      <c r="B1027" s="34"/>
      <c r="C1027" s="34"/>
      <c r="D1027" s="35"/>
      <c r="E1027" s="35"/>
      <c r="F1027" s="35"/>
      <c r="G1027" s="35"/>
      <c r="H1027" s="34"/>
      <c r="I1027" s="34"/>
      <c r="J1027" s="34"/>
      <c r="K1027" s="34"/>
      <c r="L1027" s="34"/>
      <c r="M1027" s="34"/>
      <c r="N1027" s="34"/>
      <c r="O1027" s="34"/>
    </row>
    <row r="1028">
      <c r="A1028" s="33"/>
      <c r="B1028" s="34"/>
      <c r="C1028" s="34"/>
      <c r="D1028" s="35"/>
      <c r="E1028" s="35"/>
      <c r="F1028" s="35"/>
      <c r="G1028" s="35"/>
      <c r="H1028" s="34"/>
      <c r="I1028" s="34"/>
      <c r="J1028" s="34"/>
      <c r="K1028" s="34"/>
      <c r="L1028" s="34"/>
      <c r="M1028" s="34"/>
      <c r="N1028" s="34"/>
      <c r="O1028" s="34"/>
    </row>
    <row r="1029">
      <c r="A1029" s="33"/>
      <c r="B1029" s="34"/>
      <c r="C1029" s="34"/>
      <c r="D1029" s="35"/>
      <c r="E1029" s="35"/>
      <c r="F1029" s="35"/>
      <c r="G1029" s="35"/>
      <c r="H1029" s="34"/>
      <c r="I1029" s="34"/>
      <c r="J1029" s="34"/>
      <c r="K1029" s="34"/>
      <c r="L1029" s="34"/>
      <c r="M1029" s="34"/>
      <c r="N1029" s="34"/>
      <c r="O1029" s="34"/>
    </row>
    <row r="1030">
      <c r="A1030" s="33"/>
      <c r="B1030" s="34"/>
      <c r="C1030" s="34"/>
      <c r="D1030" s="35"/>
      <c r="E1030" s="35"/>
      <c r="F1030" s="35"/>
      <c r="G1030" s="35"/>
      <c r="H1030" s="34"/>
      <c r="I1030" s="34"/>
      <c r="J1030" s="34"/>
      <c r="K1030" s="34"/>
      <c r="L1030" s="34"/>
      <c r="M1030" s="34"/>
      <c r="N1030" s="34"/>
      <c r="O1030" s="34"/>
    </row>
    <row r="1031">
      <c r="A1031" s="33"/>
      <c r="B1031" s="34"/>
      <c r="C1031" s="34"/>
      <c r="D1031" s="35"/>
      <c r="E1031" s="35"/>
      <c r="F1031" s="35"/>
      <c r="G1031" s="35"/>
      <c r="H1031" s="34"/>
      <c r="I1031" s="34"/>
      <c r="J1031" s="34"/>
      <c r="K1031" s="34"/>
      <c r="L1031" s="34"/>
      <c r="M1031" s="34"/>
      <c r="N1031" s="34"/>
      <c r="O1031" s="34"/>
    </row>
    <row r="1032">
      <c r="A1032" s="33"/>
      <c r="B1032" s="34"/>
      <c r="C1032" s="34"/>
      <c r="D1032" s="35"/>
      <c r="E1032" s="35"/>
      <c r="F1032" s="35"/>
      <c r="G1032" s="35"/>
      <c r="H1032" s="34"/>
      <c r="I1032" s="34"/>
      <c r="J1032" s="34"/>
      <c r="K1032" s="34"/>
      <c r="L1032" s="34"/>
      <c r="M1032" s="34"/>
      <c r="N1032" s="34"/>
      <c r="O1032" s="34"/>
    </row>
    <row r="1033">
      <c r="A1033" s="33"/>
      <c r="B1033" s="34"/>
      <c r="C1033" s="34"/>
      <c r="D1033" s="35"/>
      <c r="E1033" s="35"/>
      <c r="F1033" s="35"/>
      <c r="G1033" s="35"/>
      <c r="H1033" s="34"/>
      <c r="I1033" s="34"/>
      <c r="J1033" s="34"/>
      <c r="K1033" s="34"/>
      <c r="L1033" s="34"/>
      <c r="M1033" s="34"/>
      <c r="N1033" s="34"/>
      <c r="O1033" s="34"/>
    </row>
    <row r="1034">
      <c r="A1034" s="33"/>
      <c r="B1034" s="34"/>
      <c r="C1034" s="34"/>
      <c r="D1034" s="35"/>
      <c r="E1034" s="35"/>
      <c r="F1034" s="35"/>
      <c r="G1034" s="35"/>
      <c r="H1034" s="34"/>
      <c r="I1034" s="34"/>
      <c r="J1034" s="34"/>
      <c r="K1034" s="34"/>
      <c r="L1034" s="34"/>
      <c r="M1034" s="34"/>
      <c r="N1034" s="34"/>
      <c r="O1034" s="34"/>
    </row>
    <row r="1035">
      <c r="A1035" s="33"/>
      <c r="B1035" s="34"/>
      <c r="C1035" s="34"/>
      <c r="D1035" s="35"/>
      <c r="E1035" s="35"/>
      <c r="F1035" s="35"/>
      <c r="G1035" s="35"/>
      <c r="H1035" s="34"/>
      <c r="I1035" s="34"/>
      <c r="J1035" s="34"/>
      <c r="K1035" s="34"/>
      <c r="L1035" s="34"/>
      <c r="M1035" s="34"/>
      <c r="N1035" s="34"/>
      <c r="O1035" s="34"/>
    </row>
    <row r="1036">
      <c r="A1036" s="33"/>
      <c r="B1036" s="34"/>
      <c r="C1036" s="34"/>
      <c r="D1036" s="35"/>
      <c r="E1036" s="35"/>
      <c r="F1036" s="35"/>
      <c r="G1036" s="35"/>
      <c r="H1036" s="34"/>
      <c r="I1036" s="34"/>
      <c r="J1036" s="34"/>
      <c r="K1036" s="34"/>
      <c r="L1036" s="34"/>
      <c r="M1036" s="34"/>
      <c r="N1036" s="34"/>
      <c r="O1036" s="34"/>
    </row>
    <row r="1037">
      <c r="A1037" s="33"/>
      <c r="B1037" s="34"/>
      <c r="C1037" s="34"/>
      <c r="D1037" s="35"/>
      <c r="E1037" s="35"/>
      <c r="F1037" s="35"/>
      <c r="G1037" s="35"/>
      <c r="H1037" s="34"/>
      <c r="I1037" s="34"/>
      <c r="J1037" s="34"/>
      <c r="K1037" s="34"/>
      <c r="L1037" s="34"/>
      <c r="M1037" s="34"/>
      <c r="N1037" s="34"/>
      <c r="O1037" s="34"/>
    </row>
    <row r="1038">
      <c r="A1038" s="33"/>
      <c r="B1038" s="34"/>
      <c r="C1038" s="34"/>
      <c r="D1038" s="35"/>
      <c r="E1038" s="35"/>
      <c r="F1038" s="35"/>
      <c r="G1038" s="35"/>
      <c r="H1038" s="34"/>
      <c r="I1038" s="34"/>
      <c r="J1038" s="34"/>
      <c r="K1038" s="34"/>
      <c r="L1038" s="34"/>
      <c r="M1038" s="34"/>
      <c r="N1038" s="34"/>
      <c r="O1038" s="34"/>
    </row>
    <row r="1039">
      <c r="A1039" s="33"/>
      <c r="B1039" s="34"/>
      <c r="C1039" s="34"/>
      <c r="D1039" s="35"/>
      <c r="E1039" s="35"/>
      <c r="F1039" s="35"/>
      <c r="G1039" s="35"/>
      <c r="H1039" s="34"/>
      <c r="I1039" s="34"/>
      <c r="J1039" s="34"/>
      <c r="K1039" s="34"/>
      <c r="L1039" s="34"/>
      <c r="M1039" s="34"/>
      <c r="N1039" s="34"/>
      <c r="O1039" s="34"/>
    </row>
    <row r="1040">
      <c r="A1040" s="33"/>
      <c r="B1040" s="34"/>
      <c r="C1040" s="34"/>
      <c r="D1040" s="35"/>
      <c r="E1040" s="35"/>
      <c r="F1040" s="35"/>
      <c r="G1040" s="35"/>
      <c r="H1040" s="34"/>
      <c r="I1040" s="34"/>
      <c r="J1040" s="34"/>
      <c r="K1040" s="34"/>
      <c r="L1040" s="34"/>
      <c r="M1040" s="34"/>
      <c r="N1040" s="34"/>
      <c r="O1040" s="34"/>
    </row>
    <row r="1041">
      <c r="A1041" s="33"/>
      <c r="B1041" s="34"/>
      <c r="C1041" s="34"/>
      <c r="D1041" s="35"/>
      <c r="E1041" s="35"/>
      <c r="F1041" s="35"/>
      <c r="G1041" s="35"/>
      <c r="H1041" s="34"/>
      <c r="I1041" s="34"/>
      <c r="J1041" s="34"/>
      <c r="K1041" s="34"/>
      <c r="L1041" s="34"/>
      <c r="M1041" s="34"/>
      <c r="N1041" s="34"/>
      <c r="O1041" s="34"/>
    </row>
    <row r="1042">
      <c r="A1042" s="33"/>
      <c r="B1042" s="34"/>
      <c r="C1042" s="34"/>
      <c r="D1042" s="35"/>
      <c r="E1042" s="35"/>
      <c r="F1042" s="35"/>
      <c r="G1042" s="35"/>
      <c r="H1042" s="34"/>
      <c r="I1042" s="34"/>
      <c r="J1042" s="34"/>
      <c r="K1042" s="34"/>
      <c r="L1042" s="34"/>
      <c r="M1042" s="34"/>
      <c r="N1042" s="34"/>
      <c r="O1042" s="34"/>
    </row>
    <row r="1043">
      <c r="A1043" s="33"/>
      <c r="B1043" s="34"/>
      <c r="C1043" s="34"/>
      <c r="D1043" s="35"/>
      <c r="E1043" s="35"/>
      <c r="F1043" s="35"/>
      <c r="G1043" s="35"/>
      <c r="H1043" s="34"/>
      <c r="I1043" s="34"/>
      <c r="J1043" s="34"/>
      <c r="K1043" s="34"/>
      <c r="L1043" s="34"/>
      <c r="M1043" s="34"/>
      <c r="N1043" s="34"/>
      <c r="O1043" s="34"/>
    </row>
    <row r="1044">
      <c r="A1044" s="33"/>
      <c r="B1044" s="34"/>
      <c r="C1044" s="34"/>
      <c r="D1044" s="35"/>
      <c r="E1044" s="35"/>
      <c r="F1044" s="35"/>
      <c r="G1044" s="35"/>
      <c r="H1044" s="34"/>
      <c r="I1044" s="34"/>
      <c r="J1044" s="34"/>
      <c r="K1044" s="34"/>
      <c r="L1044" s="34"/>
      <c r="M1044" s="34"/>
      <c r="N1044" s="34"/>
      <c r="O1044" s="34"/>
    </row>
    <row r="1045">
      <c r="A1045" s="33"/>
      <c r="B1045" s="34"/>
      <c r="C1045" s="34"/>
      <c r="D1045" s="35"/>
      <c r="E1045" s="35"/>
      <c r="F1045" s="35"/>
      <c r="G1045" s="35"/>
      <c r="H1045" s="34"/>
      <c r="I1045" s="34"/>
      <c r="J1045" s="34"/>
      <c r="K1045" s="34"/>
      <c r="L1045" s="34"/>
      <c r="M1045" s="34"/>
      <c r="N1045" s="34"/>
      <c r="O1045" s="34"/>
    </row>
    <row r="1046">
      <c r="A1046" s="33"/>
      <c r="B1046" s="34"/>
      <c r="C1046" s="34"/>
      <c r="D1046" s="35"/>
      <c r="E1046" s="35"/>
      <c r="F1046" s="35"/>
      <c r="G1046" s="35"/>
      <c r="H1046" s="34"/>
      <c r="I1046" s="34"/>
      <c r="J1046" s="34"/>
      <c r="K1046" s="34"/>
      <c r="L1046" s="34"/>
      <c r="M1046" s="34"/>
      <c r="N1046" s="34"/>
      <c r="O1046" s="34"/>
    </row>
    <row r="1047">
      <c r="A1047" s="33"/>
      <c r="B1047" s="34"/>
      <c r="C1047" s="34"/>
      <c r="D1047" s="35"/>
      <c r="E1047" s="35"/>
      <c r="F1047" s="35"/>
      <c r="G1047" s="35"/>
      <c r="H1047" s="34"/>
      <c r="I1047" s="34"/>
      <c r="J1047" s="34"/>
      <c r="K1047" s="34"/>
      <c r="L1047" s="34"/>
      <c r="M1047" s="34"/>
      <c r="N1047" s="34"/>
      <c r="O1047" s="34"/>
    </row>
    <row r="1048">
      <c r="A1048" s="33"/>
      <c r="B1048" s="34"/>
      <c r="C1048" s="34"/>
      <c r="D1048" s="35"/>
      <c r="E1048" s="35"/>
      <c r="F1048" s="35"/>
      <c r="G1048" s="35"/>
      <c r="H1048" s="34"/>
      <c r="I1048" s="34"/>
      <c r="J1048" s="34"/>
      <c r="K1048" s="34"/>
      <c r="L1048" s="34"/>
      <c r="M1048" s="34"/>
      <c r="N1048" s="34"/>
      <c r="O1048" s="34"/>
    </row>
    <row r="1049">
      <c r="A1049" s="33"/>
      <c r="B1049" s="34"/>
      <c r="C1049" s="34"/>
      <c r="D1049" s="35"/>
      <c r="E1049" s="35"/>
      <c r="F1049" s="35"/>
      <c r="G1049" s="35"/>
      <c r="H1049" s="34"/>
      <c r="I1049" s="34"/>
      <c r="J1049" s="34"/>
      <c r="K1049" s="34"/>
      <c r="L1049" s="34"/>
      <c r="M1049" s="34"/>
      <c r="N1049" s="34"/>
      <c r="O1049" s="34"/>
    </row>
    <row r="1050">
      <c r="A1050" s="33"/>
      <c r="B1050" s="34"/>
      <c r="C1050" s="34"/>
      <c r="D1050" s="35"/>
      <c r="E1050" s="35"/>
      <c r="F1050" s="35"/>
      <c r="G1050" s="35"/>
      <c r="H1050" s="34"/>
      <c r="I1050" s="34"/>
      <c r="J1050" s="34"/>
      <c r="K1050" s="34"/>
      <c r="L1050" s="34"/>
      <c r="M1050" s="34"/>
      <c r="N1050" s="34"/>
      <c r="O1050" s="34"/>
    </row>
    <row r="1051">
      <c r="A1051" s="33"/>
      <c r="B1051" s="34"/>
      <c r="C1051" s="34"/>
      <c r="D1051" s="35"/>
      <c r="E1051" s="35"/>
      <c r="F1051" s="35"/>
      <c r="G1051" s="35"/>
      <c r="H1051" s="34"/>
      <c r="I1051" s="34"/>
      <c r="J1051" s="34"/>
      <c r="K1051" s="34"/>
      <c r="L1051" s="34"/>
      <c r="M1051" s="34"/>
      <c r="N1051" s="34"/>
      <c r="O1051" s="34"/>
    </row>
    <row r="1052">
      <c r="A1052" s="33"/>
      <c r="B1052" s="34"/>
      <c r="C1052" s="34"/>
      <c r="D1052" s="35"/>
      <c r="E1052" s="35"/>
      <c r="F1052" s="35"/>
      <c r="G1052" s="35"/>
      <c r="H1052" s="34"/>
      <c r="I1052" s="34"/>
      <c r="J1052" s="34"/>
      <c r="K1052" s="34"/>
      <c r="L1052" s="34"/>
      <c r="M1052" s="34"/>
      <c r="N1052" s="34"/>
      <c r="O1052" s="34"/>
    </row>
    <row r="1053">
      <c r="A1053" s="33"/>
      <c r="B1053" s="34"/>
      <c r="C1053" s="34"/>
      <c r="D1053" s="35"/>
      <c r="E1053" s="35"/>
      <c r="F1053" s="35"/>
      <c r="G1053" s="35"/>
      <c r="H1053" s="34"/>
      <c r="I1053" s="34"/>
      <c r="J1053" s="34"/>
      <c r="K1053" s="34"/>
      <c r="L1053" s="34"/>
      <c r="M1053" s="34"/>
      <c r="N1053" s="34"/>
      <c r="O1053" s="34"/>
    </row>
    <row r="1054">
      <c r="A1054" s="33"/>
      <c r="B1054" s="34"/>
      <c r="C1054" s="34"/>
      <c r="D1054" s="35"/>
      <c r="E1054" s="35"/>
      <c r="F1054" s="35"/>
      <c r="G1054" s="35"/>
      <c r="H1054" s="34"/>
      <c r="I1054" s="34"/>
      <c r="J1054" s="34"/>
      <c r="K1054" s="34"/>
      <c r="L1054" s="34"/>
      <c r="M1054" s="34"/>
      <c r="N1054" s="34"/>
      <c r="O1054" s="34"/>
    </row>
    <row r="1055">
      <c r="A1055" s="33"/>
      <c r="B1055" s="34"/>
      <c r="C1055" s="34"/>
      <c r="D1055" s="35"/>
      <c r="E1055" s="35"/>
      <c r="F1055" s="35"/>
      <c r="G1055" s="35"/>
      <c r="H1055" s="34"/>
      <c r="I1055" s="34"/>
      <c r="J1055" s="34"/>
      <c r="K1055" s="34"/>
      <c r="L1055" s="34"/>
      <c r="M1055" s="34"/>
      <c r="N1055" s="34"/>
      <c r="O1055" s="34"/>
    </row>
    <row r="1056">
      <c r="A1056" s="33"/>
      <c r="B1056" s="34"/>
      <c r="C1056" s="34"/>
      <c r="D1056" s="35"/>
      <c r="E1056" s="35"/>
      <c r="F1056" s="35"/>
      <c r="G1056" s="35"/>
      <c r="H1056" s="34"/>
      <c r="I1056" s="34"/>
      <c r="J1056" s="34"/>
      <c r="K1056" s="34"/>
      <c r="L1056" s="34"/>
      <c r="M1056" s="34"/>
      <c r="N1056" s="34"/>
      <c r="O1056" s="34"/>
    </row>
    <row r="1057">
      <c r="A1057" s="33"/>
      <c r="B1057" s="34"/>
      <c r="C1057" s="34"/>
      <c r="D1057" s="35"/>
      <c r="E1057" s="35"/>
      <c r="F1057" s="35"/>
      <c r="G1057" s="35"/>
      <c r="H1057" s="34"/>
      <c r="I1057" s="34"/>
      <c r="J1057" s="34"/>
      <c r="K1057" s="34"/>
      <c r="L1057" s="34"/>
      <c r="M1057" s="34"/>
      <c r="N1057" s="34"/>
      <c r="O1057" s="34"/>
    </row>
    <row r="1058">
      <c r="A1058" s="33"/>
      <c r="B1058" s="34"/>
      <c r="C1058" s="34"/>
      <c r="D1058" s="35"/>
      <c r="E1058" s="35"/>
      <c r="F1058" s="35"/>
      <c r="G1058" s="35"/>
      <c r="H1058" s="34"/>
      <c r="I1058" s="34"/>
      <c r="J1058" s="34"/>
      <c r="K1058" s="34"/>
      <c r="L1058" s="34"/>
      <c r="M1058" s="34"/>
      <c r="N1058" s="34"/>
      <c r="O1058" s="34"/>
    </row>
    <row r="1059">
      <c r="A1059" s="33"/>
      <c r="B1059" s="34"/>
      <c r="C1059" s="34"/>
      <c r="D1059" s="35"/>
      <c r="E1059" s="35"/>
      <c r="F1059" s="35"/>
      <c r="G1059" s="35"/>
      <c r="H1059" s="34"/>
      <c r="I1059" s="34"/>
      <c r="J1059" s="34"/>
      <c r="K1059" s="34"/>
      <c r="L1059" s="34"/>
      <c r="M1059" s="34"/>
      <c r="N1059" s="34"/>
      <c r="O1059" s="34"/>
    </row>
    <row r="1060">
      <c r="A1060" s="33"/>
      <c r="B1060" s="34"/>
      <c r="C1060" s="34"/>
      <c r="D1060" s="35"/>
      <c r="E1060" s="35"/>
      <c r="F1060" s="35"/>
      <c r="G1060" s="35"/>
      <c r="H1060" s="34"/>
      <c r="I1060" s="34"/>
      <c r="J1060" s="34"/>
      <c r="K1060" s="34"/>
      <c r="L1060" s="34"/>
      <c r="M1060" s="34"/>
      <c r="N1060" s="34"/>
      <c r="O1060" s="34"/>
    </row>
    <row r="1061">
      <c r="A1061" s="33"/>
      <c r="B1061" s="34"/>
      <c r="C1061" s="34"/>
      <c r="D1061" s="35"/>
      <c r="E1061" s="35"/>
      <c r="F1061" s="35"/>
      <c r="G1061" s="35"/>
      <c r="H1061" s="34"/>
      <c r="I1061" s="34"/>
      <c r="J1061" s="34"/>
      <c r="K1061" s="34"/>
      <c r="L1061" s="34"/>
      <c r="M1061" s="34"/>
      <c r="N1061" s="34"/>
      <c r="O1061" s="34"/>
    </row>
    <row r="1062">
      <c r="A1062" s="33"/>
      <c r="B1062" s="34"/>
      <c r="C1062" s="34"/>
      <c r="D1062" s="35"/>
      <c r="E1062" s="35"/>
      <c r="F1062" s="35"/>
      <c r="G1062" s="35"/>
      <c r="H1062" s="34"/>
      <c r="I1062" s="34"/>
      <c r="J1062" s="34"/>
      <c r="K1062" s="34"/>
      <c r="L1062" s="34"/>
      <c r="M1062" s="34"/>
      <c r="N1062" s="34"/>
      <c r="O1062" s="34"/>
    </row>
    <row r="1063">
      <c r="A1063" s="33"/>
      <c r="B1063" s="34"/>
      <c r="C1063" s="34"/>
      <c r="D1063" s="35"/>
      <c r="E1063" s="35"/>
      <c r="F1063" s="35"/>
      <c r="G1063" s="35"/>
      <c r="H1063" s="34"/>
      <c r="I1063" s="34"/>
      <c r="J1063" s="34"/>
      <c r="K1063" s="34"/>
      <c r="L1063" s="34"/>
      <c r="M1063" s="34"/>
      <c r="N1063" s="34"/>
      <c r="O1063" s="34"/>
    </row>
    <row r="1064">
      <c r="A1064" s="33"/>
      <c r="B1064" s="34"/>
      <c r="C1064" s="34"/>
      <c r="D1064" s="35"/>
      <c r="E1064" s="35"/>
      <c r="F1064" s="35"/>
      <c r="G1064" s="35"/>
      <c r="H1064" s="34"/>
      <c r="I1064" s="34"/>
      <c r="J1064" s="34"/>
      <c r="K1064" s="34"/>
      <c r="L1064" s="34"/>
      <c r="M1064" s="34"/>
      <c r="N1064" s="34"/>
      <c r="O1064" s="34"/>
    </row>
    <row r="1065">
      <c r="A1065" s="33"/>
      <c r="B1065" s="34"/>
      <c r="C1065" s="34"/>
      <c r="D1065" s="35"/>
      <c r="E1065" s="35"/>
      <c r="F1065" s="35"/>
      <c r="G1065" s="35"/>
      <c r="H1065" s="34"/>
      <c r="I1065" s="34"/>
      <c r="J1065" s="34"/>
      <c r="K1065" s="34"/>
      <c r="L1065" s="34"/>
      <c r="M1065" s="34"/>
      <c r="N1065" s="34"/>
      <c r="O1065" s="34"/>
    </row>
    <row r="1066">
      <c r="A1066" s="33"/>
      <c r="B1066" s="34"/>
      <c r="C1066" s="34"/>
      <c r="D1066" s="35"/>
      <c r="E1066" s="35"/>
      <c r="F1066" s="35"/>
      <c r="G1066" s="35"/>
      <c r="H1066" s="34"/>
      <c r="I1066" s="34"/>
      <c r="J1066" s="34"/>
      <c r="K1066" s="34"/>
      <c r="L1066" s="34"/>
      <c r="M1066" s="34"/>
      <c r="N1066" s="34"/>
      <c r="O1066" s="34"/>
    </row>
    <row r="1067">
      <c r="A1067" s="33"/>
      <c r="B1067" s="34"/>
      <c r="C1067" s="34"/>
      <c r="D1067" s="35"/>
      <c r="E1067" s="35"/>
      <c r="F1067" s="35"/>
      <c r="G1067" s="35"/>
      <c r="H1067" s="34"/>
      <c r="I1067" s="34"/>
      <c r="J1067" s="34"/>
      <c r="K1067" s="34"/>
      <c r="L1067" s="34"/>
      <c r="M1067" s="34"/>
      <c r="N1067" s="34"/>
      <c r="O1067" s="34"/>
    </row>
    <row r="1068">
      <c r="A1068" s="33"/>
      <c r="B1068" s="34"/>
      <c r="C1068" s="34"/>
      <c r="D1068" s="35"/>
      <c r="E1068" s="35"/>
      <c r="F1068" s="35"/>
      <c r="G1068" s="35"/>
      <c r="H1068" s="34"/>
      <c r="I1068" s="34"/>
      <c r="J1068" s="34"/>
      <c r="K1068" s="34"/>
      <c r="L1068" s="34"/>
      <c r="M1068" s="34"/>
      <c r="N1068" s="34"/>
      <c r="O1068" s="34"/>
    </row>
    <row r="1069">
      <c r="A1069" s="33"/>
      <c r="B1069" s="34"/>
      <c r="C1069" s="34"/>
      <c r="D1069" s="35"/>
      <c r="E1069" s="35"/>
      <c r="F1069" s="35"/>
      <c r="G1069" s="35"/>
      <c r="H1069" s="34"/>
      <c r="I1069" s="34"/>
      <c r="J1069" s="34"/>
      <c r="K1069" s="34"/>
      <c r="L1069" s="34"/>
      <c r="M1069" s="34"/>
      <c r="N1069" s="34"/>
      <c r="O1069" s="34"/>
    </row>
    <row r="1070">
      <c r="A1070" s="33"/>
      <c r="B1070" s="34"/>
      <c r="C1070" s="34"/>
      <c r="D1070" s="35"/>
      <c r="E1070" s="35"/>
      <c r="F1070" s="35"/>
      <c r="G1070" s="35"/>
      <c r="H1070" s="34"/>
      <c r="I1070" s="34"/>
      <c r="J1070" s="34"/>
      <c r="K1070" s="34"/>
      <c r="L1070" s="34"/>
      <c r="M1070" s="34"/>
      <c r="N1070" s="34"/>
      <c r="O1070" s="34"/>
    </row>
    <row r="1071">
      <c r="A1071" s="33"/>
      <c r="B1071" s="34"/>
      <c r="C1071" s="34"/>
      <c r="D1071" s="35"/>
      <c r="E1071" s="35"/>
      <c r="F1071" s="35"/>
      <c r="G1071" s="35"/>
      <c r="H1071" s="34"/>
      <c r="I1071" s="34"/>
      <c r="J1071" s="34"/>
      <c r="K1071" s="34"/>
      <c r="L1071" s="34"/>
      <c r="M1071" s="34"/>
      <c r="N1071" s="34"/>
      <c r="O1071" s="34"/>
    </row>
    <row r="1072">
      <c r="A1072" s="33"/>
      <c r="B1072" s="34"/>
      <c r="C1072" s="34"/>
      <c r="D1072" s="35"/>
      <c r="E1072" s="35"/>
      <c r="F1072" s="35"/>
      <c r="G1072" s="35"/>
      <c r="H1072" s="34"/>
      <c r="I1072" s="34"/>
      <c r="J1072" s="34"/>
      <c r="K1072" s="34"/>
      <c r="L1072" s="34"/>
      <c r="M1072" s="34"/>
      <c r="N1072" s="34"/>
      <c r="O1072" s="34"/>
    </row>
    <row r="1073">
      <c r="A1073" s="33"/>
      <c r="B1073" s="34"/>
      <c r="C1073" s="34"/>
      <c r="D1073" s="35"/>
      <c r="E1073" s="35"/>
      <c r="F1073" s="35"/>
      <c r="G1073" s="35"/>
      <c r="H1073" s="34"/>
      <c r="I1073" s="34"/>
      <c r="J1073" s="34"/>
      <c r="K1073" s="34"/>
      <c r="L1073" s="34"/>
      <c r="M1073" s="34"/>
      <c r="N1073" s="34"/>
      <c r="O1073" s="34"/>
    </row>
    <row r="1074">
      <c r="A1074" s="33"/>
      <c r="B1074" s="34"/>
      <c r="C1074" s="34"/>
      <c r="D1074" s="35"/>
      <c r="E1074" s="35"/>
      <c r="F1074" s="35"/>
      <c r="G1074" s="35"/>
      <c r="H1074" s="34"/>
      <c r="I1074" s="34"/>
      <c r="J1074" s="34"/>
      <c r="K1074" s="34"/>
      <c r="L1074" s="34"/>
      <c r="M1074" s="34"/>
      <c r="N1074" s="34"/>
      <c r="O1074" s="34"/>
    </row>
    <row r="1075">
      <c r="A1075" s="33"/>
      <c r="B1075" s="34"/>
      <c r="C1075" s="34"/>
      <c r="D1075" s="35"/>
      <c r="E1075" s="35"/>
      <c r="F1075" s="35"/>
      <c r="G1075" s="35"/>
      <c r="H1075" s="34"/>
      <c r="I1075" s="34"/>
      <c r="J1075" s="34"/>
      <c r="K1075" s="34"/>
      <c r="L1075" s="34"/>
      <c r="M1075" s="34"/>
      <c r="N1075" s="34"/>
      <c r="O1075" s="34"/>
    </row>
    <row r="1076">
      <c r="A1076" s="33"/>
      <c r="B1076" s="34"/>
      <c r="C1076" s="34"/>
      <c r="D1076" s="35"/>
      <c r="E1076" s="35"/>
      <c r="F1076" s="35"/>
      <c r="G1076" s="35"/>
      <c r="H1076" s="34"/>
      <c r="I1076" s="34"/>
      <c r="J1076" s="34"/>
      <c r="K1076" s="34"/>
      <c r="L1076" s="34"/>
      <c r="M1076" s="34"/>
      <c r="N1076" s="34"/>
      <c r="O1076" s="34"/>
    </row>
    <row r="1077">
      <c r="A1077" s="33"/>
      <c r="B1077" s="34"/>
      <c r="C1077" s="34"/>
      <c r="D1077" s="35"/>
      <c r="E1077" s="35"/>
      <c r="F1077" s="35"/>
      <c r="G1077" s="35"/>
      <c r="H1077" s="34"/>
      <c r="I1077" s="34"/>
      <c r="J1077" s="34"/>
      <c r="K1077" s="34"/>
      <c r="L1077" s="34"/>
      <c r="M1077" s="34"/>
      <c r="N1077" s="34"/>
      <c r="O1077" s="34"/>
    </row>
    <row r="1078">
      <c r="A1078" s="33"/>
      <c r="B1078" s="34"/>
      <c r="C1078" s="34"/>
      <c r="D1078" s="35"/>
      <c r="E1078" s="35"/>
      <c r="F1078" s="35"/>
      <c r="G1078" s="35"/>
      <c r="H1078" s="34"/>
      <c r="I1078" s="34"/>
      <c r="J1078" s="34"/>
      <c r="K1078" s="34"/>
      <c r="L1078" s="34"/>
      <c r="M1078" s="34"/>
      <c r="N1078" s="34"/>
      <c r="O1078" s="34"/>
    </row>
    <row r="1079">
      <c r="A1079" s="33"/>
      <c r="B1079" s="34"/>
      <c r="C1079" s="34"/>
      <c r="D1079" s="35"/>
      <c r="E1079" s="35"/>
      <c r="F1079" s="35"/>
      <c r="G1079" s="35"/>
      <c r="H1079" s="34"/>
      <c r="I1079" s="34"/>
      <c r="J1079" s="34"/>
      <c r="K1079" s="34"/>
      <c r="L1079" s="34"/>
      <c r="M1079" s="34"/>
      <c r="N1079" s="34"/>
      <c r="O1079" s="34"/>
    </row>
    <row r="1080">
      <c r="A1080" s="33"/>
      <c r="B1080" s="34"/>
      <c r="C1080" s="34"/>
      <c r="D1080" s="35"/>
      <c r="E1080" s="35"/>
      <c r="F1080" s="35"/>
      <c r="G1080" s="35"/>
      <c r="H1080" s="34"/>
      <c r="I1080" s="34"/>
      <c r="J1080" s="34"/>
      <c r="K1080" s="34"/>
      <c r="L1080" s="34"/>
      <c r="M1080" s="34"/>
      <c r="N1080" s="34"/>
      <c r="O1080" s="34"/>
    </row>
    <row r="1081">
      <c r="A1081" s="33"/>
      <c r="B1081" s="34"/>
      <c r="C1081" s="34"/>
      <c r="D1081" s="35"/>
      <c r="E1081" s="35"/>
      <c r="F1081" s="35"/>
      <c r="G1081" s="35"/>
      <c r="H1081" s="34"/>
      <c r="I1081" s="34"/>
      <c r="J1081" s="34"/>
      <c r="K1081" s="34"/>
      <c r="L1081" s="34"/>
      <c r="M1081" s="34"/>
      <c r="N1081" s="34"/>
      <c r="O1081" s="34"/>
    </row>
    <row r="1082">
      <c r="A1082" s="33"/>
      <c r="B1082" s="34"/>
      <c r="C1082" s="34"/>
      <c r="D1082" s="35"/>
      <c r="E1082" s="35"/>
      <c r="F1082" s="35"/>
      <c r="G1082" s="35"/>
      <c r="H1082" s="34"/>
      <c r="I1082" s="34"/>
      <c r="J1082" s="34"/>
      <c r="K1082" s="34"/>
      <c r="L1082" s="34"/>
      <c r="M1082" s="34"/>
      <c r="N1082" s="34"/>
      <c r="O1082" s="34"/>
    </row>
    <row r="1083">
      <c r="A1083" s="33"/>
      <c r="B1083" s="34"/>
      <c r="C1083" s="34"/>
      <c r="D1083" s="35"/>
      <c r="E1083" s="35"/>
      <c r="F1083" s="35"/>
      <c r="G1083" s="35"/>
      <c r="H1083" s="34"/>
      <c r="I1083" s="34"/>
      <c r="J1083" s="34"/>
      <c r="K1083" s="34"/>
      <c r="L1083" s="34"/>
      <c r="M1083" s="34"/>
      <c r="N1083" s="34"/>
      <c r="O1083" s="34"/>
    </row>
    <row r="1084">
      <c r="A1084" s="33"/>
      <c r="B1084" s="34"/>
      <c r="C1084" s="34"/>
      <c r="D1084" s="35"/>
      <c r="E1084" s="35"/>
      <c r="F1084" s="35"/>
      <c r="G1084" s="35"/>
      <c r="H1084" s="34"/>
      <c r="I1084" s="34"/>
      <c r="J1084" s="34"/>
      <c r="K1084" s="34"/>
      <c r="L1084" s="34"/>
      <c r="M1084" s="34"/>
      <c r="N1084" s="34"/>
      <c r="O1084" s="34"/>
    </row>
    <row r="1085">
      <c r="A1085" s="33"/>
      <c r="B1085" s="34"/>
      <c r="C1085" s="34"/>
      <c r="D1085" s="35"/>
      <c r="E1085" s="35"/>
      <c r="F1085" s="35"/>
      <c r="G1085" s="35"/>
      <c r="H1085" s="34"/>
      <c r="I1085" s="34"/>
      <c r="J1085" s="34"/>
      <c r="K1085" s="34"/>
      <c r="L1085" s="34"/>
      <c r="M1085" s="34"/>
      <c r="N1085" s="34"/>
      <c r="O1085" s="34"/>
    </row>
    <row r="1086">
      <c r="A1086" s="33"/>
      <c r="B1086" s="34"/>
      <c r="C1086" s="34"/>
      <c r="D1086" s="35"/>
      <c r="E1086" s="35"/>
      <c r="F1086" s="35"/>
      <c r="G1086" s="35"/>
      <c r="H1086" s="34"/>
      <c r="I1086" s="34"/>
      <c r="J1086" s="34"/>
      <c r="K1086" s="34"/>
      <c r="L1086" s="34"/>
      <c r="M1086" s="34"/>
      <c r="N1086" s="34"/>
      <c r="O1086" s="34"/>
    </row>
    <row r="1087">
      <c r="A1087" s="33"/>
      <c r="B1087" s="34"/>
      <c r="C1087" s="34"/>
      <c r="D1087" s="35"/>
      <c r="E1087" s="35"/>
      <c r="F1087" s="35"/>
      <c r="G1087" s="35"/>
      <c r="H1087" s="34"/>
      <c r="I1087" s="34"/>
      <c r="J1087" s="34"/>
      <c r="K1087" s="34"/>
      <c r="L1087" s="34"/>
      <c r="M1087" s="34"/>
      <c r="N1087" s="34"/>
      <c r="O1087" s="34"/>
    </row>
    <row r="1088">
      <c r="A1088" s="33"/>
      <c r="B1088" s="34"/>
      <c r="C1088" s="34"/>
      <c r="D1088" s="35"/>
      <c r="E1088" s="35"/>
      <c r="F1088" s="35"/>
      <c r="G1088" s="35"/>
      <c r="H1088" s="34"/>
      <c r="I1088" s="34"/>
      <c r="J1088" s="34"/>
      <c r="K1088" s="34"/>
      <c r="L1088" s="34"/>
      <c r="M1088" s="34"/>
      <c r="N1088" s="34"/>
      <c r="O1088" s="34"/>
    </row>
    <row r="1089">
      <c r="A1089" s="33"/>
      <c r="B1089" s="34"/>
      <c r="C1089" s="34"/>
      <c r="D1089" s="35"/>
      <c r="E1089" s="35"/>
      <c r="F1089" s="35"/>
      <c r="G1089" s="35"/>
      <c r="H1089" s="34"/>
      <c r="I1089" s="34"/>
      <c r="J1089" s="34"/>
      <c r="K1089" s="34"/>
      <c r="L1089" s="34"/>
      <c r="M1089" s="34"/>
      <c r="N1089" s="34"/>
      <c r="O1089" s="34"/>
    </row>
    <row r="1090">
      <c r="A1090" s="33"/>
      <c r="B1090" s="34"/>
      <c r="C1090" s="34"/>
      <c r="D1090" s="35"/>
      <c r="E1090" s="35"/>
      <c r="F1090" s="35"/>
      <c r="G1090" s="35"/>
      <c r="H1090" s="34"/>
      <c r="I1090" s="34"/>
      <c r="J1090" s="34"/>
      <c r="K1090" s="34"/>
      <c r="L1090" s="34"/>
      <c r="M1090" s="34"/>
      <c r="N1090" s="34"/>
      <c r="O1090" s="34"/>
    </row>
    <row r="1091">
      <c r="A1091" s="33"/>
      <c r="B1091" s="34"/>
      <c r="C1091" s="34"/>
      <c r="D1091" s="35"/>
      <c r="E1091" s="35"/>
      <c r="F1091" s="35"/>
      <c r="G1091" s="35"/>
      <c r="H1091" s="34"/>
      <c r="I1091" s="34"/>
      <c r="J1091" s="34"/>
      <c r="K1091" s="34"/>
      <c r="L1091" s="34"/>
      <c r="M1091" s="34"/>
      <c r="N1091" s="34"/>
      <c r="O1091" s="34"/>
    </row>
    <row r="1092">
      <c r="A1092" s="33"/>
      <c r="B1092" s="34"/>
      <c r="C1092" s="34"/>
      <c r="D1092" s="35"/>
      <c r="E1092" s="35"/>
      <c r="F1092" s="35"/>
      <c r="G1092" s="35"/>
      <c r="H1092" s="34"/>
      <c r="I1092" s="34"/>
      <c r="J1092" s="34"/>
      <c r="K1092" s="34"/>
      <c r="L1092" s="34"/>
      <c r="M1092" s="34"/>
      <c r="N1092" s="34"/>
      <c r="O1092" s="34"/>
    </row>
    <row r="1093">
      <c r="A1093" s="33"/>
      <c r="B1093" s="34"/>
      <c r="C1093" s="34"/>
      <c r="D1093" s="35"/>
      <c r="E1093" s="35"/>
      <c r="F1093" s="35"/>
      <c r="G1093" s="35"/>
      <c r="H1093" s="34"/>
      <c r="I1093" s="34"/>
      <c r="J1093" s="34"/>
      <c r="K1093" s="34"/>
      <c r="L1093" s="34"/>
      <c r="M1093" s="34"/>
      <c r="N1093" s="34"/>
      <c r="O1093" s="34"/>
    </row>
    <row r="1094">
      <c r="A1094" s="33"/>
      <c r="B1094" s="34"/>
      <c r="C1094" s="34"/>
      <c r="D1094" s="35"/>
      <c r="E1094" s="35"/>
      <c r="F1094" s="35"/>
      <c r="G1094" s="35"/>
      <c r="H1094" s="34"/>
      <c r="I1094" s="34"/>
      <c r="J1094" s="34"/>
      <c r="K1094" s="34"/>
      <c r="L1094" s="34"/>
      <c r="M1094" s="34"/>
      <c r="N1094" s="34"/>
      <c r="O1094" s="34"/>
    </row>
    <row r="1095">
      <c r="A1095" s="33"/>
      <c r="B1095" s="34"/>
      <c r="C1095" s="34"/>
      <c r="D1095" s="35"/>
      <c r="E1095" s="35"/>
      <c r="F1095" s="35"/>
      <c r="G1095" s="35"/>
      <c r="H1095" s="34"/>
      <c r="I1095" s="34"/>
      <c r="J1095" s="34"/>
      <c r="K1095" s="34"/>
      <c r="L1095" s="34"/>
      <c r="M1095" s="34"/>
      <c r="N1095" s="34"/>
      <c r="O1095" s="34"/>
    </row>
    <row r="1096">
      <c r="A1096" s="33"/>
      <c r="B1096" s="34"/>
      <c r="C1096" s="34"/>
      <c r="D1096" s="35"/>
      <c r="E1096" s="35"/>
      <c r="F1096" s="35"/>
      <c r="G1096" s="35"/>
      <c r="H1096" s="34"/>
      <c r="I1096" s="34"/>
      <c r="J1096" s="34"/>
      <c r="K1096" s="34"/>
      <c r="L1096" s="34"/>
      <c r="M1096" s="34"/>
      <c r="N1096" s="34"/>
      <c r="O1096" s="34"/>
    </row>
    <row r="1097">
      <c r="A1097" s="33"/>
      <c r="B1097" s="34"/>
      <c r="C1097" s="34"/>
      <c r="D1097" s="35"/>
      <c r="E1097" s="35"/>
      <c r="F1097" s="35"/>
      <c r="G1097" s="35"/>
      <c r="H1097" s="34"/>
      <c r="I1097" s="34"/>
      <c r="J1097" s="34"/>
      <c r="K1097" s="34"/>
      <c r="L1097" s="34"/>
      <c r="M1097" s="34"/>
      <c r="N1097" s="34"/>
      <c r="O1097" s="34"/>
    </row>
    <row r="1098">
      <c r="A1098" s="33"/>
      <c r="B1098" s="34"/>
      <c r="C1098" s="34"/>
      <c r="D1098" s="35"/>
      <c r="E1098" s="35"/>
      <c r="F1098" s="35"/>
      <c r="G1098" s="35"/>
      <c r="H1098" s="34"/>
      <c r="I1098" s="34"/>
      <c r="J1098" s="34"/>
      <c r="K1098" s="34"/>
      <c r="L1098" s="34"/>
      <c r="M1098" s="34"/>
      <c r="N1098" s="34"/>
      <c r="O1098" s="34"/>
    </row>
    <row r="1099">
      <c r="A1099" s="33"/>
      <c r="B1099" s="34"/>
      <c r="C1099" s="34"/>
      <c r="D1099" s="35"/>
      <c r="E1099" s="35"/>
      <c r="F1099" s="35"/>
      <c r="G1099" s="35"/>
      <c r="H1099" s="34"/>
      <c r="I1099" s="34"/>
      <c r="J1099" s="34"/>
      <c r="K1099" s="34"/>
      <c r="L1099" s="34"/>
      <c r="M1099" s="34"/>
      <c r="N1099" s="34"/>
      <c r="O1099" s="34"/>
    </row>
    <row r="1100">
      <c r="A1100" s="33"/>
      <c r="B1100" s="34"/>
      <c r="C1100" s="34"/>
      <c r="D1100" s="35"/>
      <c r="E1100" s="35"/>
      <c r="F1100" s="35"/>
      <c r="G1100" s="35"/>
      <c r="H1100" s="34"/>
      <c r="I1100" s="34"/>
      <c r="J1100" s="34"/>
      <c r="K1100" s="34"/>
      <c r="L1100" s="34"/>
      <c r="M1100" s="34"/>
      <c r="N1100" s="34"/>
      <c r="O1100" s="34"/>
    </row>
    <row r="1101">
      <c r="A1101" s="33"/>
      <c r="B1101" s="34"/>
      <c r="C1101" s="34"/>
      <c r="D1101" s="35"/>
      <c r="E1101" s="35"/>
      <c r="F1101" s="35"/>
      <c r="G1101" s="35"/>
      <c r="H1101" s="34"/>
      <c r="I1101" s="34"/>
      <c r="J1101" s="34"/>
      <c r="K1101" s="34"/>
      <c r="L1101" s="34"/>
      <c r="M1101" s="34"/>
      <c r="N1101" s="34"/>
      <c r="O1101" s="34"/>
    </row>
    <row r="1102">
      <c r="A1102" s="33"/>
      <c r="B1102" s="34"/>
      <c r="C1102" s="34"/>
      <c r="D1102" s="35"/>
      <c r="E1102" s="35"/>
      <c r="F1102" s="35"/>
      <c r="G1102" s="35"/>
      <c r="H1102" s="34"/>
      <c r="I1102" s="34"/>
      <c r="J1102" s="34"/>
      <c r="K1102" s="34"/>
      <c r="L1102" s="34"/>
      <c r="M1102" s="34"/>
      <c r="N1102" s="34"/>
      <c r="O1102" s="34"/>
    </row>
    <row r="1103">
      <c r="A1103" s="33"/>
      <c r="B1103" s="34"/>
      <c r="C1103" s="34"/>
      <c r="D1103" s="35"/>
      <c r="E1103" s="35"/>
      <c r="F1103" s="35"/>
      <c r="G1103" s="35"/>
      <c r="H1103" s="34"/>
      <c r="I1103" s="34"/>
      <c r="J1103" s="34"/>
      <c r="K1103" s="34"/>
      <c r="L1103" s="34"/>
      <c r="M1103" s="34"/>
      <c r="N1103" s="34"/>
      <c r="O1103" s="34"/>
    </row>
    <row r="1104">
      <c r="A1104" s="33"/>
      <c r="B1104" s="34"/>
      <c r="C1104" s="34"/>
      <c r="D1104" s="35"/>
      <c r="E1104" s="35"/>
      <c r="F1104" s="35"/>
      <c r="G1104" s="35"/>
      <c r="H1104" s="34"/>
      <c r="I1104" s="34"/>
      <c r="J1104" s="34"/>
      <c r="K1104" s="34"/>
      <c r="L1104" s="34"/>
      <c r="M1104" s="34"/>
      <c r="N1104" s="34"/>
      <c r="O1104" s="34"/>
    </row>
    <row r="1105">
      <c r="A1105" s="33"/>
      <c r="B1105" s="34"/>
      <c r="C1105" s="34"/>
      <c r="D1105" s="35"/>
      <c r="E1105" s="35"/>
      <c r="F1105" s="35"/>
      <c r="G1105" s="35"/>
      <c r="H1105" s="34"/>
      <c r="I1105" s="34"/>
      <c r="J1105" s="34"/>
      <c r="K1105" s="34"/>
      <c r="L1105" s="34"/>
      <c r="M1105" s="34"/>
      <c r="N1105" s="34"/>
      <c r="O1105" s="34"/>
    </row>
    <row r="1106">
      <c r="A1106" s="33"/>
      <c r="B1106" s="34"/>
      <c r="C1106" s="34"/>
      <c r="D1106" s="35"/>
      <c r="E1106" s="35"/>
      <c r="F1106" s="35"/>
      <c r="G1106" s="35"/>
      <c r="H1106" s="34"/>
      <c r="I1106" s="34"/>
      <c r="J1106" s="34"/>
      <c r="K1106" s="34"/>
      <c r="L1106" s="34"/>
      <c r="M1106" s="34"/>
      <c r="N1106" s="34"/>
      <c r="O1106" s="34"/>
    </row>
    <row r="1107">
      <c r="A1107" s="33"/>
      <c r="B1107" s="34"/>
      <c r="C1107" s="34"/>
      <c r="D1107" s="35"/>
      <c r="E1107" s="35"/>
      <c r="F1107" s="35"/>
      <c r="G1107" s="35"/>
      <c r="H1107" s="34"/>
      <c r="I1107" s="34"/>
      <c r="J1107" s="34"/>
      <c r="K1107" s="34"/>
      <c r="L1107" s="34"/>
      <c r="M1107" s="34"/>
      <c r="N1107" s="34"/>
      <c r="O1107" s="34"/>
    </row>
    <row r="1108">
      <c r="A1108" s="33"/>
      <c r="B1108" s="34"/>
      <c r="C1108" s="34"/>
      <c r="D1108" s="35"/>
      <c r="E1108" s="35"/>
      <c r="F1108" s="35"/>
      <c r="G1108" s="35"/>
      <c r="H1108" s="34"/>
      <c r="I1108" s="34"/>
      <c r="J1108" s="34"/>
      <c r="K1108" s="34"/>
      <c r="L1108" s="34"/>
      <c r="M1108" s="34"/>
      <c r="N1108" s="34"/>
      <c r="O1108" s="34"/>
    </row>
    <row r="1109">
      <c r="A1109" s="33"/>
      <c r="B1109" s="34"/>
      <c r="C1109" s="34"/>
      <c r="D1109" s="35"/>
      <c r="E1109" s="35"/>
      <c r="F1109" s="35"/>
      <c r="G1109" s="35"/>
      <c r="H1109" s="34"/>
      <c r="I1109" s="34"/>
      <c r="J1109" s="34"/>
      <c r="K1109" s="34"/>
      <c r="L1109" s="34"/>
      <c r="M1109" s="34"/>
      <c r="N1109" s="34"/>
      <c r="O1109" s="34"/>
    </row>
    <row r="1110">
      <c r="A1110" s="33"/>
      <c r="B1110" s="34"/>
      <c r="C1110" s="34"/>
      <c r="D1110" s="35"/>
      <c r="E1110" s="35"/>
      <c r="F1110" s="35"/>
      <c r="G1110" s="35"/>
      <c r="H1110" s="34"/>
      <c r="I1110" s="34"/>
      <c r="J1110" s="34"/>
      <c r="K1110" s="34"/>
      <c r="L1110" s="34"/>
      <c r="M1110" s="34"/>
      <c r="N1110" s="34"/>
      <c r="O1110" s="34"/>
    </row>
    <row r="1111">
      <c r="A1111" s="33"/>
      <c r="B1111" s="34"/>
      <c r="C1111" s="34"/>
      <c r="D1111" s="35"/>
      <c r="E1111" s="35"/>
      <c r="F1111" s="35"/>
      <c r="G1111" s="35"/>
      <c r="H1111" s="34"/>
      <c r="I1111" s="34"/>
      <c r="J1111" s="34"/>
      <c r="K1111" s="34"/>
      <c r="L1111" s="34"/>
      <c r="M1111" s="34"/>
      <c r="N1111" s="34"/>
      <c r="O1111" s="34"/>
    </row>
    <row r="1112">
      <c r="A1112" s="33"/>
      <c r="B1112" s="34"/>
      <c r="C1112" s="34"/>
      <c r="D1112" s="35"/>
      <c r="E1112" s="35"/>
      <c r="F1112" s="35"/>
      <c r="G1112" s="35"/>
      <c r="H1112" s="34"/>
      <c r="I1112" s="34"/>
      <c r="J1112" s="34"/>
      <c r="K1112" s="34"/>
      <c r="L1112" s="34"/>
      <c r="M1112" s="34"/>
      <c r="N1112" s="34"/>
      <c r="O1112" s="34"/>
    </row>
    <row r="1113">
      <c r="A1113" s="33"/>
      <c r="B1113" s="34"/>
      <c r="C1113" s="34"/>
      <c r="D1113" s="35"/>
      <c r="E1113" s="35"/>
      <c r="F1113" s="35"/>
      <c r="G1113" s="35"/>
      <c r="H1113" s="34"/>
      <c r="I1113" s="34"/>
      <c r="J1113" s="34"/>
      <c r="K1113" s="34"/>
      <c r="L1113" s="34"/>
      <c r="M1113" s="34"/>
      <c r="N1113" s="34"/>
      <c r="O1113" s="34"/>
    </row>
    <row r="1114">
      <c r="A1114" s="33"/>
      <c r="B1114" s="34"/>
      <c r="C1114" s="34"/>
      <c r="D1114" s="35"/>
      <c r="E1114" s="35"/>
      <c r="F1114" s="35"/>
      <c r="G1114" s="35"/>
      <c r="H1114" s="34"/>
      <c r="I1114" s="34"/>
      <c r="J1114" s="34"/>
      <c r="K1114" s="34"/>
      <c r="L1114" s="34"/>
      <c r="M1114" s="34"/>
      <c r="N1114" s="34"/>
      <c r="O1114" s="34"/>
    </row>
    <row r="1115">
      <c r="A1115" s="33"/>
      <c r="B1115" s="34"/>
      <c r="C1115" s="34"/>
      <c r="D1115" s="35"/>
      <c r="E1115" s="35"/>
      <c r="F1115" s="35"/>
      <c r="G1115" s="35"/>
      <c r="H1115" s="34"/>
      <c r="I1115" s="34"/>
      <c r="J1115" s="34"/>
      <c r="K1115" s="34"/>
      <c r="L1115" s="34"/>
      <c r="M1115" s="34"/>
      <c r="N1115" s="34"/>
      <c r="O1115" s="34"/>
    </row>
    <row r="1116">
      <c r="A1116" s="33"/>
      <c r="B1116" s="34"/>
      <c r="C1116" s="34"/>
      <c r="D1116" s="35"/>
      <c r="E1116" s="35"/>
      <c r="F1116" s="35"/>
      <c r="G1116" s="35"/>
      <c r="H1116" s="34"/>
      <c r="I1116" s="34"/>
      <c r="J1116" s="34"/>
      <c r="K1116" s="34"/>
      <c r="L1116" s="34"/>
      <c r="M1116" s="34"/>
      <c r="N1116" s="34"/>
      <c r="O1116" s="34"/>
    </row>
    <row r="1117">
      <c r="A1117" s="33"/>
      <c r="B1117" s="34"/>
      <c r="C1117" s="34"/>
      <c r="D1117" s="35"/>
      <c r="E1117" s="35"/>
      <c r="F1117" s="35"/>
      <c r="G1117" s="35"/>
      <c r="H1117" s="34"/>
      <c r="I1117" s="34"/>
      <c r="J1117" s="34"/>
      <c r="K1117" s="34"/>
      <c r="L1117" s="34"/>
      <c r="M1117" s="34"/>
      <c r="N1117" s="34"/>
      <c r="O1117" s="34"/>
    </row>
    <row r="1118">
      <c r="A1118" s="33"/>
      <c r="B1118" s="34"/>
      <c r="C1118" s="34"/>
      <c r="D1118" s="35"/>
      <c r="E1118" s="35"/>
      <c r="F1118" s="35"/>
      <c r="G1118" s="35"/>
      <c r="H1118" s="34"/>
      <c r="I1118" s="34"/>
      <c r="J1118" s="34"/>
      <c r="K1118" s="34"/>
      <c r="L1118" s="34"/>
      <c r="M1118" s="34"/>
      <c r="N1118" s="34"/>
      <c r="O1118" s="34"/>
    </row>
    <row r="1119">
      <c r="A1119" s="33"/>
      <c r="B1119" s="34"/>
      <c r="C1119" s="34"/>
      <c r="D1119" s="35"/>
      <c r="E1119" s="35"/>
      <c r="F1119" s="35"/>
      <c r="G1119" s="35"/>
      <c r="H1119" s="34"/>
      <c r="I1119" s="34"/>
      <c r="J1119" s="34"/>
      <c r="K1119" s="34"/>
      <c r="L1119" s="34"/>
      <c r="M1119" s="34"/>
      <c r="N1119" s="34"/>
      <c r="O1119" s="34"/>
    </row>
    <row r="1120">
      <c r="A1120" s="33"/>
      <c r="B1120" s="34"/>
      <c r="C1120" s="34"/>
      <c r="D1120" s="35"/>
      <c r="E1120" s="35"/>
      <c r="F1120" s="35"/>
      <c r="G1120" s="35"/>
      <c r="H1120" s="34"/>
      <c r="I1120" s="34"/>
      <c r="J1120" s="34"/>
      <c r="K1120" s="34"/>
      <c r="L1120" s="34"/>
      <c r="M1120" s="34"/>
      <c r="N1120" s="34"/>
      <c r="O1120" s="34"/>
    </row>
    <row r="1121">
      <c r="A1121" s="33"/>
      <c r="B1121" s="34"/>
      <c r="C1121" s="34"/>
      <c r="D1121" s="35"/>
      <c r="E1121" s="35"/>
      <c r="F1121" s="35"/>
      <c r="G1121" s="35"/>
      <c r="H1121" s="34"/>
      <c r="I1121" s="34"/>
      <c r="J1121" s="34"/>
      <c r="K1121" s="34"/>
      <c r="L1121" s="34"/>
      <c r="M1121" s="34"/>
      <c r="N1121" s="34"/>
      <c r="O1121" s="34"/>
    </row>
    <row r="1122">
      <c r="A1122" s="33"/>
      <c r="B1122" s="34"/>
      <c r="C1122" s="34"/>
      <c r="D1122" s="35"/>
      <c r="E1122" s="35"/>
      <c r="F1122" s="35"/>
      <c r="G1122" s="35"/>
      <c r="H1122" s="34"/>
      <c r="I1122" s="34"/>
      <c r="J1122" s="34"/>
      <c r="K1122" s="34"/>
      <c r="L1122" s="34"/>
      <c r="M1122" s="34"/>
      <c r="N1122" s="34"/>
      <c r="O1122" s="34"/>
    </row>
    <row r="1123">
      <c r="A1123" s="33"/>
      <c r="B1123" s="34"/>
      <c r="C1123" s="34"/>
      <c r="D1123" s="35"/>
      <c r="E1123" s="35"/>
      <c r="F1123" s="35"/>
      <c r="G1123" s="35"/>
      <c r="H1123" s="34"/>
      <c r="I1123" s="34"/>
      <c r="J1123" s="34"/>
      <c r="K1123" s="34"/>
      <c r="L1123" s="34"/>
      <c r="M1123" s="34"/>
      <c r="N1123" s="34"/>
      <c r="O1123" s="34"/>
    </row>
    <row r="1124">
      <c r="A1124" s="33"/>
      <c r="B1124" s="34"/>
      <c r="C1124" s="34"/>
      <c r="D1124" s="35"/>
      <c r="E1124" s="35"/>
      <c r="F1124" s="35"/>
      <c r="G1124" s="35"/>
      <c r="H1124" s="34"/>
      <c r="I1124" s="34"/>
      <c r="J1124" s="34"/>
      <c r="K1124" s="34"/>
      <c r="L1124" s="34"/>
      <c r="M1124" s="34"/>
      <c r="N1124" s="34"/>
      <c r="O1124" s="34"/>
    </row>
    <row r="1125">
      <c r="A1125" s="33"/>
      <c r="B1125" s="34"/>
      <c r="C1125" s="34"/>
      <c r="D1125" s="35"/>
      <c r="E1125" s="35"/>
      <c r="F1125" s="35"/>
      <c r="G1125" s="35"/>
      <c r="H1125" s="34"/>
      <c r="I1125" s="34"/>
      <c r="J1125" s="34"/>
      <c r="K1125" s="34"/>
      <c r="L1125" s="34"/>
      <c r="M1125" s="34"/>
      <c r="N1125" s="34"/>
      <c r="O1125" s="34"/>
    </row>
    <row r="1126">
      <c r="A1126" s="33"/>
      <c r="B1126" s="34"/>
      <c r="C1126" s="34"/>
      <c r="D1126" s="35"/>
      <c r="E1126" s="35"/>
      <c r="F1126" s="35"/>
      <c r="G1126" s="35"/>
      <c r="H1126" s="34"/>
      <c r="I1126" s="34"/>
      <c r="J1126" s="34"/>
      <c r="K1126" s="34"/>
      <c r="L1126" s="34"/>
      <c r="M1126" s="34"/>
      <c r="N1126" s="34"/>
      <c r="O1126" s="34"/>
    </row>
    <row r="1127">
      <c r="A1127" s="33"/>
      <c r="B1127" s="34"/>
      <c r="C1127" s="34"/>
      <c r="D1127" s="35"/>
      <c r="E1127" s="35"/>
      <c r="F1127" s="35"/>
      <c r="G1127" s="35"/>
      <c r="H1127" s="34"/>
      <c r="I1127" s="34"/>
      <c r="J1127" s="34"/>
      <c r="K1127" s="34"/>
      <c r="L1127" s="34"/>
      <c r="M1127" s="34"/>
      <c r="N1127" s="34"/>
      <c r="O1127" s="34"/>
    </row>
    <row r="1128">
      <c r="A1128" s="33"/>
      <c r="B1128" s="34"/>
      <c r="C1128" s="34"/>
      <c r="D1128" s="35"/>
      <c r="E1128" s="35"/>
      <c r="F1128" s="35"/>
      <c r="G1128" s="35"/>
      <c r="H1128" s="34"/>
      <c r="I1128" s="34"/>
      <c r="J1128" s="34"/>
      <c r="K1128" s="34"/>
      <c r="L1128" s="34"/>
      <c r="M1128" s="34"/>
      <c r="N1128" s="34"/>
      <c r="O1128" s="34"/>
    </row>
    <row r="1129">
      <c r="A1129" s="33"/>
      <c r="B1129" s="34"/>
      <c r="C1129" s="34"/>
      <c r="D1129" s="35"/>
      <c r="E1129" s="35"/>
      <c r="F1129" s="35"/>
      <c r="G1129" s="35"/>
      <c r="H1129" s="34"/>
      <c r="I1129" s="34"/>
      <c r="J1129" s="34"/>
      <c r="K1129" s="34"/>
      <c r="L1129" s="34"/>
      <c r="M1129" s="34"/>
      <c r="N1129" s="34"/>
      <c r="O1129" s="34"/>
    </row>
    <row r="1130">
      <c r="A1130" s="33"/>
      <c r="B1130" s="34"/>
      <c r="C1130" s="34"/>
      <c r="D1130" s="35"/>
      <c r="E1130" s="35"/>
      <c r="F1130" s="35"/>
      <c r="G1130" s="35"/>
      <c r="H1130" s="34"/>
      <c r="I1130" s="34"/>
      <c r="J1130" s="34"/>
      <c r="K1130" s="34"/>
      <c r="L1130" s="34"/>
      <c r="M1130" s="34"/>
      <c r="N1130" s="34"/>
      <c r="O1130" s="34"/>
    </row>
    <row r="1131">
      <c r="A1131" s="33"/>
      <c r="B1131" s="34"/>
      <c r="C1131" s="34"/>
      <c r="D1131" s="35"/>
      <c r="E1131" s="35"/>
      <c r="F1131" s="35"/>
      <c r="G1131" s="35"/>
      <c r="H1131" s="34"/>
      <c r="I1131" s="34"/>
      <c r="J1131" s="34"/>
      <c r="K1131" s="34"/>
      <c r="L1131" s="34"/>
      <c r="M1131" s="34"/>
      <c r="N1131" s="34"/>
      <c r="O1131" s="34"/>
    </row>
    <row r="1132">
      <c r="A1132" s="33"/>
      <c r="B1132" s="34"/>
      <c r="C1132" s="34"/>
      <c r="D1132" s="35"/>
      <c r="E1132" s="35"/>
      <c r="F1132" s="35"/>
      <c r="G1132" s="35"/>
      <c r="H1132" s="34"/>
      <c r="I1132" s="34"/>
      <c r="J1132" s="34"/>
      <c r="K1132" s="34"/>
      <c r="L1132" s="34"/>
      <c r="M1132" s="34"/>
      <c r="N1132" s="34"/>
      <c r="O1132" s="34"/>
    </row>
    <row r="1133">
      <c r="A1133" s="33"/>
      <c r="B1133" s="34"/>
      <c r="C1133" s="34"/>
      <c r="D1133" s="35"/>
      <c r="E1133" s="35"/>
      <c r="F1133" s="35"/>
      <c r="G1133" s="35"/>
      <c r="H1133" s="34"/>
      <c r="I1133" s="34"/>
      <c r="J1133" s="34"/>
      <c r="K1133" s="34"/>
      <c r="L1133" s="34"/>
      <c r="M1133" s="34"/>
      <c r="N1133" s="34"/>
      <c r="O1133" s="34"/>
    </row>
    <row r="1134">
      <c r="A1134" s="33"/>
      <c r="B1134" s="34"/>
      <c r="C1134" s="34"/>
      <c r="D1134" s="35"/>
      <c r="E1134" s="35"/>
      <c r="F1134" s="35"/>
      <c r="G1134" s="35"/>
      <c r="H1134" s="34"/>
      <c r="I1134" s="34"/>
      <c r="J1134" s="34"/>
      <c r="K1134" s="34"/>
      <c r="L1134" s="34"/>
      <c r="M1134" s="34"/>
      <c r="N1134" s="34"/>
      <c r="O1134" s="34"/>
    </row>
    <row r="1135">
      <c r="A1135" s="33"/>
      <c r="B1135" s="34"/>
      <c r="C1135" s="34"/>
      <c r="D1135" s="35"/>
      <c r="E1135" s="35"/>
      <c r="F1135" s="35"/>
      <c r="G1135" s="35"/>
      <c r="H1135" s="34"/>
      <c r="I1135" s="34"/>
      <c r="J1135" s="34"/>
      <c r="K1135" s="34"/>
      <c r="L1135" s="34"/>
      <c r="M1135" s="34"/>
      <c r="N1135" s="34"/>
      <c r="O1135" s="34"/>
    </row>
    <row r="1136">
      <c r="A1136" s="33"/>
      <c r="B1136" s="34"/>
      <c r="C1136" s="34"/>
      <c r="D1136" s="35"/>
      <c r="E1136" s="35"/>
      <c r="F1136" s="35"/>
      <c r="G1136" s="35"/>
      <c r="H1136" s="34"/>
      <c r="I1136" s="34"/>
      <c r="J1136" s="34"/>
      <c r="K1136" s="34"/>
      <c r="L1136" s="34"/>
      <c r="M1136" s="34"/>
      <c r="N1136" s="34"/>
      <c r="O1136" s="34"/>
    </row>
    <row r="1137">
      <c r="A1137" s="33"/>
      <c r="B1137" s="34"/>
      <c r="C1137" s="34"/>
      <c r="D1137" s="35"/>
      <c r="E1137" s="35"/>
      <c r="F1137" s="35"/>
      <c r="G1137" s="35"/>
      <c r="H1137" s="34"/>
      <c r="I1137" s="34"/>
      <c r="J1137" s="34"/>
      <c r="K1137" s="34"/>
      <c r="L1137" s="34"/>
      <c r="M1137" s="34"/>
      <c r="N1137" s="34"/>
      <c r="O1137" s="34"/>
    </row>
    <row r="1138">
      <c r="A1138" s="33"/>
      <c r="B1138" s="34"/>
      <c r="C1138" s="34"/>
      <c r="D1138" s="35"/>
      <c r="E1138" s="35"/>
      <c r="F1138" s="35"/>
      <c r="G1138" s="35"/>
      <c r="H1138" s="34"/>
      <c r="I1138" s="34"/>
      <c r="J1138" s="34"/>
      <c r="K1138" s="34"/>
      <c r="L1138" s="34"/>
      <c r="M1138" s="34"/>
      <c r="N1138" s="34"/>
      <c r="O1138" s="34"/>
    </row>
    <row r="1139">
      <c r="A1139" s="33"/>
      <c r="B1139" s="34"/>
      <c r="C1139" s="34"/>
      <c r="D1139" s="35"/>
      <c r="E1139" s="35"/>
      <c r="F1139" s="35"/>
      <c r="G1139" s="35"/>
      <c r="H1139" s="34"/>
      <c r="I1139" s="34"/>
      <c r="J1139" s="34"/>
      <c r="K1139" s="34"/>
      <c r="L1139" s="34"/>
      <c r="M1139" s="34"/>
      <c r="N1139" s="34"/>
      <c r="O1139" s="34"/>
    </row>
    <row r="1140">
      <c r="A1140" s="33"/>
      <c r="B1140" s="34"/>
      <c r="C1140" s="34"/>
      <c r="D1140" s="35"/>
      <c r="E1140" s="35"/>
      <c r="F1140" s="35"/>
      <c r="G1140" s="35"/>
      <c r="H1140" s="34"/>
      <c r="I1140" s="34"/>
      <c r="J1140" s="34"/>
      <c r="K1140" s="34"/>
      <c r="L1140" s="34"/>
      <c r="M1140" s="34"/>
      <c r="N1140" s="34"/>
      <c r="O1140" s="34"/>
    </row>
    <row r="1141">
      <c r="A1141" s="33"/>
      <c r="B1141" s="34"/>
      <c r="C1141" s="34"/>
      <c r="D1141" s="35"/>
      <c r="E1141" s="35"/>
      <c r="F1141" s="35"/>
      <c r="G1141" s="35"/>
      <c r="H1141" s="34"/>
      <c r="I1141" s="34"/>
      <c r="J1141" s="34"/>
      <c r="K1141" s="34"/>
      <c r="L1141" s="34"/>
      <c r="M1141" s="34"/>
      <c r="N1141" s="34"/>
      <c r="O1141" s="34"/>
    </row>
    <row r="1142">
      <c r="A1142" s="33"/>
      <c r="B1142" s="34"/>
      <c r="C1142" s="34"/>
      <c r="D1142" s="35"/>
      <c r="E1142" s="35"/>
      <c r="F1142" s="35"/>
      <c r="G1142" s="35"/>
      <c r="H1142" s="34"/>
      <c r="I1142" s="34"/>
      <c r="J1142" s="34"/>
      <c r="K1142" s="34"/>
      <c r="L1142" s="34"/>
      <c r="M1142" s="34"/>
      <c r="N1142" s="34"/>
      <c r="O1142" s="34"/>
    </row>
    <row r="1143">
      <c r="A1143" s="33"/>
      <c r="B1143" s="34"/>
      <c r="C1143" s="34"/>
      <c r="D1143" s="35"/>
      <c r="E1143" s="35"/>
      <c r="F1143" s="35"/>
      <c r="G1143" s="35"/>
      <c r="H1143" s="34"/>
      <c r="I1143" s="34"/>
      <c r="J1143" s="34"/>
      <c r="K1143" s="34"/>
      <c r="L1143" s="34"/>
      <c r="M1143" s="34"/>
      <c r="N1143" s="34"/>
      <c r="O1143" s="34"/>
    </row>
    <row r="1144">
      <c r="A1144" s="33"/>
      <c r="B1144" s="34"/>
      <c r="C1144" s="34"/>
      <c r="D1144" s="35"/>
      <c r="E1144" s="35"/>
      <c r="F1144" s="35"/>
      <c r="G1144" s="35"/>
      <c r="H1144" s="34"/>
      <c r="I1144" s="34"/>
      <c r="J1144" s="34"/>
      <c r="K1144" s="34"/>
      <c r="L1144" s="34"/>
      <c r="M1144" s="34"/>
      <c r="N1144" s="34"/>
      <c r="O1144" s="34"/>
    </row>
    <row r="1145">
      <c r="A1145" s="33"/>
      <c r="B1145" s="34"/>
      <c r="C1145" s="34"/>
      <c r="D1145" s="35"/>
      <c r="E1145" s="35"/>
      <c r="F1145" s="35"/>
      <c r="G1145" s="35"/>
      <c r="H1145" s="34"/>
      <c r="I1145" s="34"/>
      <c r="J1145" s="34"/>
      <c r="K1145" s="34"/>
      <c r="L1145" s="34"/>
      <c r="M1145" s="34"/>
      <c r="N1145" s="34"/>
      <c r="O1145" s="34"/>
    </row>
    <row r="1146">
      <c r="A1146" s="33"/>
      <c r="B1146" s="34"/>
      <c r="C1146" s="34"/>
      <c r="D1146" s="35"/>
      <c r="E1146" s="35"/>
      <c r="F1146" s="35"/>
      <c r="G1146" s="35"/>
      <c r="H1146" s="34"/>
      <c r="I1146" s="34"/>
      <c r="J1146" s="34"/>
      <c r="K1146" s="34"/>
      <c r="L1146" s="34"/>
      <c r="M1146" s="34"/>
      <c r="N1146" s="34"/>
      <c r="O1146" s="34"/>
    </row>
    <row r="1147">
      <c r="A1147" s="33"/>
      <c r="B1147" s="34"/>
      <c r="C1147" s="34"/>
      <c r="D1147" s="35"/>
      <c r="E1147" s="35"/>
      <c r="F1147" s="35"/>
      <c r="G1147" s="35"/>
      <c r="H1147" s="34"/>
      <c r="I1147" s="34"/>
      <c r="J1147" s="34"/>
      <c r="K1147" s="34"/>
      <c r="L1147" s="34"/>
      <c r="M1147" s="34"/>
      <c r="N1147" s="34"/>
      <c r="O1147" s="34"/>
    </row>
    <row r="1148">
      <c r="A1148" s="33"/>
      <c r="B1148" s="34"/>
      <c r="C1148" s="34"/>
      <c r="D1148" s="35"/>
      <c r="E1148" s="35"/>
      <c r="F1148" s="35"/>
      <c r="G1148" s="35"/>
      <c r="H1148" s="34"/>
      <c r="I1148" s="34"/>
      <c r="J1148" s="34"/>
      <c r="K1148" s="34"/>
      <c r="L1148" s="34"/>
      <c r="M1148" s="34"/>
      <c r="N1148" s="34"/>
      <c r="O1148" s="34"/>
    </row>
    <row r="1149">
      <c r="A1149" s="33"/>
      <c r="B1149" s="34"/>
      <c r="C1149" s="34"/>
      <c r="D1149" s="35"/>
      <c r="E1149" s="35"/>
      <c r="F1149" s="35"/>
      <c r="G1149" s="35"/>
      <c r="H1149" s="34"/>
      <c r="I1149" s="34"/>
      <c r="J1149" s="34"/>
      <c r="K1149" s="34"/>
      <c r="L1149" s="34"/>
      <c r="M1149" s="34"/>
      <c r="N1149" s="34"/>
      <c r="O1149" s="34"/>
    </row>
    <row r="1150">
      <c r="A1150" s="33"/>
      <c r="B1150" s="34"/>
      <c r="C1150" s="34"/>
      <c r="D1150" s="35"/>
      <c r="E1150" s="35"/>
      <c r="F1150" s="35"/>
      <c r="G1150" s="35"/>
      <c r="H1150" s="34"/>
      <c r="I1150" s="34"/>
      <c r="J1150" s="34"/>
      <c r="K1150" s="34"/>
      <c r="L1150" s="34"/>
      <c r="M1150" s="34"/>
      <c r="N1150" s="34"/>
      <c r="O1150" s="34"/>
    </row>
    <row r="1151">
      <c r="A1151" s="33"/>
      <c r="B1151" s="34"/>
      <c r="C1151" s="34"/>
      <c r="D1151" s="35"/>
      <c r="E1151" s="35"/>
      <c r="F1151" s="35"/>
      <c r="G1151" s="35"/>
      <c r="H1151" s="34"/>
      <c r="I1151" s="34"/>
      <c r="J1151" s="34"/>
      <c r="K1151" s="34"/>
      <c r="L1151" s="34"/>
      <c r="M1151" s="34"/>
      <c r="N1151" s="34"/>
      <c r="O1151" s="34"/>
    </row>
    <row r="1152">
      <c r="A1152" s="33"/>
      <c r="B1152" s="34"/>
      <c r="C1152" s="34"/>
      <c r="D1152" s="35"/>
      <c r="E1152" s="35"/>
      <c r="F1152" s="35"/>
      <c r="G1152" s="35"/>
      <c r="H1152" s="34"/>
      <c r="I1152" s="34"/>
      <c r="J1152" s="34"/>
      <c r="K1152" s="34"/>
      <c r="L1152" s="34"/>
      <c r="M1152" s="34"/>
      <c r="N1152" s="34"/>
      <c r="O1152" s="34"/>
    </row>
    <row r="1153">
      <c r="A1153" s="33"/>
      <c r="B1153" s="34"/>
      <c r="C1153" s="34"/>
      <c r="D1153" s="35"/>
      <c r="E1153" s="35"/>
      <c r="F1153" s="35"/>
      <c r="G1153" s="35"/>
      <c r="H1153" s="34"/>
      <c r="I1153" s="34"/>
      <c r="J1153" s="34"/>
      <c r="K1153" s="34"/>
      <c r="L1153" s="34"/>
      <c r="M1153" s="34"/>
      <c r="N1153" s="34"/>
      <c r="O1153" s="34"/>
    </row>
    <row r="1154">
      <c r="A1154" s="33"/>
      <c r="B1154" s="34"/>
      <c r="C1154" s="34"/>
      <c r="D1154" s="35"/>
      <c r="E1154" s="35"/>
      <c r="F1154" s="35"/>
      <c r="G1154" s="35"/>
      <c r="H1154" s="34"/>
      <c r="I1154" s="34"/>
      <c r="J1154" s="34"/>
      <c r="K1154" s="34"/>
      <c r="L1154" s="34"/>
      <c r="M1154" s="34"/>
      <c r="N1154" s="34"/>
      <c r="O1154" s="34"/>
    </row>
    <row r="1155">
      <c r="A1155" s="33"/>
      <c r="B1155" s="34"/>
      <c r="C1155" s="34"/>
      <c r="D1155" s="35"/>
      <c r="E1155" s="35"/>
      <c r="F1155" s="35"/>
      <c r="G1155" s="35"/>
      <c r="H1155" s="34"/>
      <c r="I1155" s="34"/>
      <c r="J1155" s="34"/>
      <c r="K1155" s="34"/>
      <c r="L1155" s="34"/>
      <c r="M1155" s="34"/>
      <c r="N1155" s="34"/>
      <c r="O1155" s="34"/>
    </row>
    <row r="1156">
      <c r="A1156" s="33"/>
      <c r="B1156" s="34"/>
      <c r="C1156" s="34"/>
      <c r="D1156" s="35"/>
      <c r="E1156" s="35"/>
      <c r="F1156" s="35"/>
      <c r="G1156" s="35"/>
      <c r="H1156" s="34"/>
      <c r="I1156" s="34"/>
      <c r="J1156" s="34"/>
      <c r="K1156" s="34"/>
      <c r="L1156" s="34"/>
      <c r="M1156" s="34"/>
      <c r="N1156" s="34"/>
      <c r="O1156" s="34"/>
    </row>
    <row r="1157">
      <c r="A1157" s="33"/>
      <c r="B1157" s="34"/>
      <c r="C1157" s="34"/>
      <c r="D1157" s="35"/>
      <c r="E1157" s="35"/>
      <c r="F1157" s="35"/>
      <c r="G1157" s="35"/>
      <c r="H1157" s="34"/>
      <c r="I1157" s="34"/>
      <c r="J1157" s="34"/>
      <c r="K1157" s="34"/>
      <c r="L1157" s="34"/>
      <c r="M1157" s="34"/>
      <c r="N1157" s="34"/>
      <c r="O1157" s="34"/>
    </row>
    <row r="1158">
      <c r="A1158" s="33"/>
      <c r="B1158" s="34"/>
      <c r="C1158" s="34"/>
      <c r="D1158" s="35"/>
      <c r="E1158" s="35"/>
      <c r="F1158" s="35"/>
      <c r="G1158" s="35"/>
      <c r="H1158" s="34"/>
      <c r="I1158" s="34"/>
      <c r="J1158" s="34"/>
      <c r="K1158" s="34"/>
      <c r="L1158" s="34"/>
      <c r="M1158" s="34"/>
      <c r="N1158" s="34"/>
      <c r="O1158" s="34"/>
    </row>
    <row r="1159">
      <c r="A1159" s="33"/>
      <c r="B1159" s="34"/>
      <c r="C1159" s="34"/>
      <c r="D1159" s="35"/>
      <c r="E1159" s="35"/>
      <c r="F1159" s="35"/>
      <c r="G1159" s="35"/>
      <c r="H1159" s="34"/>
      <c r="I1159" s="34"/>
      <c r="J1159" s="34"/>
      <c r="K1159" s="34"/>
      <c r="L1159" s="34"/>
      <c r="M1159" s="34"/>
      <c r="N1159" s="34"/>
      <c r="O1159" s="34"/>
    </row>
    <row r="1160">
      <c r="A1160" s="33"/>
      <c r="B1160" s="34"/>
      <c r="C1160" s="34"/>
      <c r="D1160" s="35"/>
      <c r="E1160" s="35"/>
      <c r="F1160" s="35"/>
      <c r="G1160" s="35"/>
      <c r="H1160" s="34"/>
      <c r="I1160" s="34"/>
      <c r="J1160" s="34"/>
      <c r="K1160" s="34"/>
      <c r="L1160" s="34"/>
      <c r="M1160" s="34"/>
      <c r="N1160" s="34"/>
      <c r="O1160" s="34"/>
    </row>
    <row r="1161">
      <c r="A1161" s="33"/>
      <c r="B1161" s="34"/>
      <c r="C1161" s="34"/>
      <c r="D1161" s="35"/>
      <c r="E1161" s="35"/>
      <c r="F1161" s="35"/>
      <c r="G1161" s="35"/>
      <c r="H1161" s="34"/>
      <c r="I1161" s="34"/>
      <c r="J1161" s="34"/>
      <c r="K1161" s="34"/>
      <c r="L1161" s="34"/>
      <c r="M1161" s="34"/>
      <c r="N1161" s="34"/>
      <c r="O1161" s="34"/>
    </row>
    <row r="1162">
      <c r="A1162" s="33"/>
      <c r="B1162" s="34"/>
      <c r="C1162" s="34"/>
      <c r="D1162" s="35"/>
      <c r="E1162" s="35"/>
      <c r="F1162" s="35"/>
      <c r="G1162" s="35"/>
      <c r="H1162" s="34"/>
      <c r="I1162" s="34"/>
      <c r="J1162" s="34"/>
      <c r="K1162" s="34"/>
      <c r="L1162" s="34"/>
      <c r="M1162" s="34"/>
      <c r="N1162" s="34"/>
      <c r="O1162" s="34"/>
    </row>
    <row r="1163">
      <c r="A1163" s="33"/>
      <c r="B1163" s="34"/>
      <c r="C1163" s="34"/>
      <c r="D1163" s="35"/>
      <c r="E1163" s="35"/>
      <c r="F1163" s="35"/>
      <c r="G1163" s="35"/>
      <c r="H1163" s="34"/>
      <c r="I1163" s="34"/>
      <c r="J1163" s="34"/>
      <c r="K1163" s="34"/>
      <c r="L1163" s="34"/>
      <c r="M1163" s="34"/>
      <c r="N1163" s="34"/>
      <c r="O1163" s="34"/>
    </row>
    <row r="1164">
      <c r="A1164" s="33"/>
      <c r="B1164" s="34"/>
      <c r="C1164" s="34"/>
      <c r="D1164" s="35"/>
      <c r="E1164" s="35"/>
      <c r="F1164" s="35"/>
      <c r="G1164" s="35"/>
      <c r="H1164" s="34"/>
      <c r="I1164" s="34"/>
      <c r="J1164" s="34"/>
      <c r="K1164" s="34"/>
      <c r="L1164" s="34"/>
      <c r="M1164" s="34"/>
      <c r="N1164" s="34"/>
      <c r="O1164" s="34"/>
    </row>
    <row r="1165">
      <c r="A1165" s="33"/>
      <c r="B1165" s="34"/>
      <c r="C1165" s="34"/>
      <c r="D1165" s="35"/>
      <c r="E1165" s="35"/>
      <c r="F1165" s="35"/>
      <c r="G1165" s="35"/>
      <c r="H1165" s="34"/>
      <c r="I1165" s="34"/>
      <c r="J1165" s="34"/>
      <c r="K1165" s="34"/>
      <c r="L1165" s="34"/>
      <c r="M1165" s="34"/>
      <c r="N1165" s="34"/>
      <c r="O1165" s="34"/>
    </row>
    <row r="1166">
      <c r="A1166" s="33"/>
      <c r="B1166" s="34"/>
      <c r="C1166" s="34"/>
      <c r="D1166" s="35"/>
      <c r="E1166" s="35"/>
      <c r="F1166" s="35"/>
      <c r="G1166" s="35"/>
      <c r="H1166" s="34"/>
      <c r="I1166" s="34"/>
      <c r="J1166" s="34"/>
      <c r="K1166" s="34"/>
      <c r="L1166" s="34"/>
      <c r="M1166" s="34"/>
      <c r="N1166" s="34"/>
      <c r="O1166" s="34"/>
    </row>
    <row r="1167">
      <c r="A1167" s="33"/>
      <c r="B1167" s="34"/>
      <c r="C1167" s="34"/>
      <c r="D1167" s="35"/>
      <c r="E1167" s="35"/>
      <c r="F1167" s="35"/>
      <c r="G1167" s="35"/>
      <c r="H1167" s="34"/>
      <c r="I1167" s="34"/>
      <c r="J1167" s="34"/>
      <c r="K1167" s="34"/>
      <c r="L1167" s="34"/>
      <c r="M1167" s="34"/>
      <c r="N1167" s="34"/>
      <c r="O1167" s="34"/>
    </row>
    <row r="1168">
      <c r="A1168" s="33"/>
      <c r="B1168" s="34"/>
      <c r="C1168" s="34"/>
      <c r="D1168" s="35"/>
      <c r="E1168" s="35"/>
      <c r="F1168" s="35"/>
      <c r="G1168" s="35"/>
      <c r="H1168" s="34"/>
      <c r="I1168" s="34"/>
      <c r="J1168" s="34"/>
      <c r="K1168" s="34"/>
      <c r="L1168" s="34"/>
      <c r="M1168" s="34"/>
      <c r="N1168" s="34"/>
      <c r="O1168" s="34"/>
    </row>
    <row r="1169">
      <c r="A1169" s="33"/>
      <c r="B1169" s="34"/>
      <c r="C1169" s="34"/>
      <c r="D1169" s="35"/>
      <c r="E1169" s="35"/>
      <c r="F1169" s="35"/>
      <c r="G1169" s="35"/>
      <c r="H1169" s="34"/>
      <c r="I1169" s="34"/>
      <c r="J1169" s="34"/>
      <c r="K1169" s="34"/>
      <c r="L1169" s="34"/>
      <c r="M1169" s="34"/>
      <c r="N1169" s="34"/>
      <c r="O1169" s="34"/>
    </row>
    <row r="1170">
      <c r="A1170" s="33"/>
      <c r="B1170" s="34"/>
      <c r="C1170" s="34"/>
      <c r="D1170" s="35"/>
      <c r="E1170" s="35"/>
      <c r="F1170" s="35"/>
      <c r="G1170" s="35"/>
      <c r="H1170" s="34"/>
      <c r="I1170" s="34"/>
      <c r="J1170" s="34"/>
      <c r="K1170" s="34"/>
      <c r="L1170" s="34"/>
      <c r="M1170" s="34"/>
      <c r="N1170" s="34"/>
      <c r="O1170" s="34"/>
    </row>
    <row r="1171">
      <c r="A1171" s="33"/>
      <c r="B1171" s="34"/>
      <c r="C1171" s="34"/>
      <c r="D1171" s="35"/>
      <c r="E1171" s="35"/>
      <c r="F1171" s="35"/>
      <c r="G1171" s="35"/>
      <c r="H1171" s="34"/>
      <c r="I1171" s="34"/>
      <c r="J1171" s="34"/>
      <c r="K1171" s="34"/>
      <c r="L1171" s="34"/>
      <c r="M1171" s="34"/>
      <c r="N1171" s="34"/>
      <c r="O1171" s="34"/>
    </row>
    <row r="1172">
      <c r="A1172" s="33"/>
      <c r="B1172" s="34"/>
      <c r="C1172" s="34"/>
      <c r="D1172" s="35"/>
      <c r="E1172" s="35"/>
      <c r="F1172" s="35"/>
      <c r="G1172" s="35"/>
      <c r="H1172" s="34"/>
      <c r="I1172" s="34"/>
      <c r="J1172" s="34"/>
      <c r="K1172" s="34"/>
      <c r="L1172" s="34"/>
      <c r="M1172" s="34"/>
      <c r="N1172" s="34"/>
      <c r="O1172" s="34"/>
    </row>
    <row r="1173">
      <c r="A1173" s="33"/>
      <c r="B1173" s="34"/>
      <c r="C1173" s="34"/>
      <c r="D1173" s="35"/>
      <c r="E1173" s="35"/>
      <c r="F1173" s="35"/>
      <c r="G1173" s="35"/>
      <c r="H1173" s="34"/>
      <c r="I1173" s="34"/>
      <c r="J1173" s="34"/>
      <c r="K1173" s="34"/>
      <c r="L1173" s="34"/>
      <c r="M1173" s="34"/>
      <c r="N1173" s="34"/>
      <c r="O1173" s="34"/>
    </row>
    <row r="1174">
      <c r="A1174" s="33"/>
      <c r="B1174" s="34"/>
      <c r="C1174" s="34"/>
      <c r="D1174" s="35"/>
      <c r="E1174" s="35"/>
      <c r="F1174" s="35"/>
      <c r="G1174" s="35"/>
      <c r="H1174" s="34"/>
      <c r="I1174" s="34"/>
      <c r="J1174" s="34"/>
      <c r="K1174" s="34"/>
      <c r="L1174" s="34"/>
      <c r="M1174" s="34"/>
      <c r="N1174" s="34"/>
      <c r="O1174" s="34"/>
    </row>
    <row r="1175">
      <c r="A1175" s="33"/>
      <c r="B1175" s="34"/>
      <c r="C1175" s="34"/>
      <c r="D1175" s="35"/>
      <c r="E1175" s="35"/>
      <c r="F1175" s="35"/>
      <c r="G1175" s="35"/>
      <c r="H1175" s="34"/>
      <c r="I1175" s="34"/>
      <c r="J1175" s="34"/>
      <c r="K1175" s="34"/>
      <c r="L1175" s="34"/>
      <c r="M1175" s="34"/>
      <c r="N1175" s="34"/>
      <c r="O1175" s="34"/>
    </row>
    <row r="1176">
      <c r="A1176" s="33"/>
      <c r="B1176" s="34"/>
      <c r="C1176" s="34"/>
      <c r="D1176" s="35"/>
      <c r="E1176" s="35"/>
      <c r="F1176" s="35"/>
      <c r="G1176" s="35"/>
      <c r="H1176" s="34"/>
      <c r="I1176" s="34"/>
      <c r="J1176" s="34"/>
      <c r="K1176" s="34"/>
      <c r="L1176" s="34"/>
      <c r="M1176" s="34"/>
      <c r="N1176" s="34"/>
      <c r="O1176" s="34"/>
    </row>
    <row r="1177">
      <c r="A1177" s="33"/>
      <c r="B1177" s="34"/>
      <c r="C1177" s="34"/>
      <c r="D1177" s="35"/>
      <c r="E1177" s="35"/>
      <c r="F1177" s="35"/>
      <c r="G1177" s="35"/>
      <c r="H1177" s="34"/>
      <c r="I1177" s="34"/>
      <c r="J1177" s="34"/>
      <c r="K1177" s="34"/>
      <c r="L1177" s="34"/>
      <c r="M1177" s="34"/>
      <c r="N1177" s="34"/>
      <c r="O1177" s="34"/>
    </row>
    <row r="1178">
      <c r="A1178" s="33"/>
      <c r="B1178" s="34"/>
      <c r="C1178" s="34"/>
      <c r="D1178" s="35"/>
      <c r="E1178" s="35"/>
      <c r="F1178" s="35"/>
      <c r="G1178" s="35"/>
      <c r="H1178" s="34"/>
      <c r="I1178" s="34"/>
      <c r="J1178" s="34"/>
      <c r="K1178" s="34"/>
      <c r="L1178" s="34"/>
      <c r="M1178" s="34"/>
      <c r="N1178" s="34"/>
      <c r="O1178" s="34"/>
    </row>
    <row r="1179">
      <c r="A1179" s="33"/>
      <c r="B1179" s="34"/>
      <c r="C1179" s="34"/>
      <c r="D1179" s="35"/>
      <c r="E1179" s="35"/>
      <c r="F1179" s="35"/>
      <c r="G1179" s="35"/>
      <c r="H1179" s="34"/>
      <c r="I1179" s="34"/>
      <c r="J1179" s="34"/>
      <c r="K1179" s="34"/>
      <c r="L1179" s="34"/>
      <c r="M1179" s="34"/>
      <c r="N1179" s="34"/>
      <c r="O1179" s="34"/>
    </row>
    <row r="1180">
      <c r="A1180" s="33"/>
      <c r="B1180" s="34"/>
      <c r="C1180" s="34"/>
      <c r="D1180" s="35"/>
      <c r="E1180" s="35"/>
      <c r="F1180" s="35"/>
      <c r="G1180" s="35"/>
      <c r="H1180" s="34"/>
      <c r="I1180" s="34"/>
      <c r="J1180" s="34"/>
      <c r="K1180" s="34"/>
      <c r="L1180" s="34"/>
      <c r="M1180" s="34"/>
      <c r="N1180" s="34"/>
      <c r="O1180" s="34"/>
    </row>
    <row r="1181">
      <c r="A1181" s="33"/>
      <c r="B1181" s="34"/>
      <c r="C1181" s="34"/>
      <c r="D1181" s="35"/>
      <c r="E1181" s="35"/>
      <c r="F1181" s="35"/>
      <c r="G1181" s="35"/>
      <c r="H1181" s="34"/>
      <c r="I1181" s="34"/>
      <c r="J1181" s="34"/>
      <c r="K1181" s="34"/>
      <c r="L1181" s="34"/>
      <c r="M1181" s="34"/>
      <c r="N1181" s="34"/>
      <c r="O1181" s="34"/>
    </row>
    <row r="1182">
      <c r="A1182" s="33"/>
      <c r="B1182" s="34"/>
      <c r="C1182" s="34"/>
      <c r="D1182" s="35"/>
      <c r="E1182" s="35"/>
      <c r="F1182" s="35"/>
      <c r="G1182" s="35"/>
      <c r="H1182" s="34"/>
      <c r="I1182" s="34"/>
      <c r="J1182" s="34"/>
      <c r="K1182" s="34"/>
      <c r="L1182" s="34"/>
      <c r="M1182" s="34"/>
      <c r="N1182" s="34"/>
      <c r="O1182" s="34"/>
    </row>
    <row r="1183">
      <c r="A1183" s="33"/>
      <c r="B1183" s="34"/>
      <c r="C1183" s="34"/>
      <c r="D1183" s="35"/>
      <c r="E1183" s="35"/>
      <c r="F1183" s="35"/>
      <c r="G1183" s="35"/>
      <c r="H1183" s="34"/>
      <c r="I1183" s="34"/>
      <c r="J1183" s="34"/>
      <c r="K1183" s="34"/>
      <c r="L1183" s="34"/>
      <c r="M1183" s="34"/>
      <c r="N1183" s="34"/>
      <c r="O1183" s="34"/>
    </row>
    <row r="1184">
      <c r="A1184" s="33"/>
      <c r="B1184" s="34"/>
      <c r="C1184" s="34"/>
      <c r="D1184" s="35"/>
      <c r="E1184" s="35"/>
      <c r="F1184" s="35"/>
      <c r="G1184" s="35"/>
      <c r="H1184" s="34"/>
      <c r="I1184" s="34"/>
      <c r="J1184" s="34"/>
      <c r="K1184" s="34"/>
      <c r="L1184" s="34"/>
      <c r="M1184" s="34"/>
      <c r="N1184" s="34"/>
      <c r="O1184" s="34"/>
    </row>
    <row r="1185">
      <c r="A1185" s="33"/>
      <c r="B1185" s="34"/>
      <c r="C1185" s="34"/>
      <c r="D1185" s="35"/>
      <c r="E1185" s="35"/>
      <c r="F1185" s="35"/>
      <c r="G1185" s="35"/>
      <c r="H1185" s="34"/>
      <c r="I1185" s="34"/>
      <c r="J1185" s="34"/>
      <c r="K1185" s="34"/>
      <c r="L1185" s="34"/>
      <c r="M1185" s="34"/>
      <c r="N1185" s="34"/>
      <c r="O1185" s="34"/>
    </row>
    <row r="1186">
      <c r="A1186" s="33"/>
      <c r="B1186" s="34"/>
      <c r="C1186" s="34"/>
      <c r="D1186" s="35"/>
      <c r="E1186" s="35"/>
      <c r="F1186" s="35"/>
      <c r="G1186" s="35"/>
      <c r="H1186" s="34"/>
      <c r="I1186" s="34"/>
      <c r="J1186" s="34"/>
      <c r="K1186" s="34"/>
      <c r="L1186" s="34"/>
      <c r="M1186" s="34"/>
      <c r="N1186" s="34"/>
      <c r="O1186" s="34"/>
    </row>
    <row r="1187">
      <c r="A1187" s="33"/>
      <c r="B1187" s="34"/>
      <c r="C1187" s="34"/>
      <c r="D1187" s="35"/>
      <c r="E1187" s="35"/>
      <c r="F1187" s="35"/>
      <c r="G1187" s="35"/>
      <c r="H1187" s="34"/>
      <c r="I1187" s="34"/>
      <c r="J1187" s="34"/>
      <c r="K1187" s="34"/>
      <c r="L1187" s="34"/>
      <c r="M1187" s="34"/>
      <c r="N1187" s="34"/>
      <c r="O1187" s="34"/>
    </row>
    <row r="1188">
      <c r="A1188" s="33"/>
      <c r="B1188" s="34"/>
      <c r="C1188" s="34"/>
      <c r="D1188" s="35"/>
      <c r="E1188" s="35"/>
      <c r="F1188" s="35"/>
      <c r="G1188" s="35"/>
      <c r="H1188" s="34"/>
      <c r="I1188" s="34"/>
      <c r="J1188" s="34"/>
      <c r="K1188" s="34"/>
      <c r="L1188" s="34"/>
      <c r="M1188" s="34"/>
      <c r="N1188" s="34"/>
      <c r="O1188" s="34"/>
    </row>
    <row r="1189">
      <c r="A1189" s="33"/>
      <c r="B1189" s="34"/>
      <c r="C1189" s="34"/>
      <c r="D1189" s="35"/>
      <c r="E1189" s="35"/>
      <c r="F1189" s="35"/>
      <c r="G1189" s="35"/>
      <c r="H1189" s="34"/>
      <c r="I1189" s="34"/>
      <c r="J1189" s="34"/>
      <c r="K1189" s="34"/>
      <c r="L1189" s="34"/>
      <c r="M1189" s="34"/>
      <c r="N1189" s="34"/>
      <c r="O1189" s="34"/>
    </row>
    <row r="1190">
      <c r="A1190" s="33"/>
      <c r="B1190" s="34"/>
      <c r="C1190" s="34"/>
      <c r="D1190" s="35"/>
      <c r="E1190" s="35"/>
      <c r="F1190" s="35"/>
      <c r="G1190" s="35"/>
      <c r="H1190" s="34"/>
      <c r="I1190" s="34"/>
      <c r="J1190" s="34"/>
      <c r="K1190" s="34"/>
      <c r="L1190" s="34"/>
      <c r="M1190" s="34"/>
      <c r="N1190" s="34"/>
      <c r="O1190" s="34"/>
    </row>
    <row r="1191">
      <c r="A1191" s="33"/>
      <c r="B1191" s="34"/>
      <c r="C1191" s="34"/>
      <c r="D1191" s="35"/>
      <c r="E1191" s="35"/>
      <c r="F1191" s="35"/>
      <c r="G1191" s="35"/>
      <c r="H1191" s="34"/>
      <c r="I1191" s="34"/>
      <c r="J1191" s="34"/>
      <c r="K1191" s="34"/>
      <c r="L1191" s="34"/>
      <c r="M1191" s="34"/>
      <c r="N1191" s="34"/>
      <c r="O1191" s="34"/>
    </row>
    <row r="1192">
      <c r="A1192" s="33"/>
      <c r="B1192" s="34"/>
      <c r="C1192" s="34"/>
      <c r="D1192" s="35"/>
      <c r="E1192" s="35"/>
      <c r="F1192" s="35"/>
      <c r="G1192" s="35"/>
      <c r="H1192" s="34"/>
      <c r="I1192" s="34"/>
      <c r="J1192" s="34"/>
      <c r="K1192" s="34"/>
      <c r="L1192" s="34"/>
      <c r="M1192" s="34"/>
      <c r="N1192" s="34"/>
      <c r="O1192" s="34"/>
    </row>
    <row r="1193">
      <c r="A1193" s="33"/>
      <c r="B1193" s="34"/>
      <c r="C1193" s="34"/>
      <c r="D1193" s="35"/>
      <c r="E1193" s="35"/>
      <c r="F1193" s="35"/>
      <c r="G1193" s="35"/>
      <c r="H1193" s="34"/>
      <c r="I1193" s="34"/>
      <c r="J1193" s="34"/>
      <c r="K1193" s="34"/>
      <c r="L1193" s="34"/>
      <c r="M1193" s="34"/>
      <c r="N1193" s="34"/>
      <c r="O1193" s="34"/>
    </row>
    <row r="1194">
      <c r="A1194" s="33"/>
      <c r="B1194" s="34"/>
      <c r="C1194" s="34"/>
      <c r="D1194" s="35"/>
      <c r="E1194" s="35"/>
      <c r="F1194" s="35"/>
      <c r="G1194" s="35"/>
      <c r="H1194" s="34"/>
      <c r="I1194" s="34"/>
      <c r="J1194" s="34"/>
      <c r="K1194" s="34"/>
      <c r="L1194" s="34"/>
      <c r="M1194" s="34"/>
      <c r="N1194" s="34"/>
      <c r="O1194" s="34"/>
    </row>
    <row r="1195">
      <c r="A1195" s="33"/>
      <c r="B1195" s="34"/>
      <c r="C1195" s="34"/>
      <c r="D1195" s="35"/>
      <c r="E1195" s="35"/>
      <c r="F1195" s="35"/>
      <c r="G1195" s="35"/>
      <c r="H1195" s="34"/>
      <c r="I1195" s="34"/>
      <c r="J1195" s="34"/>
      <c r="K1195" s="34"/>
      <c r="L1195" s="34"/>
      <c r="M1195" s="34"/>
      <c r="N1195" s="34"/>
      <c r="O1195" s="34"/>
    </row>
    <row r="1196">
      <c r="A1196" s="33"/>
      <c r="B1196" s="34"/>
      <c r="C1196" s="34"/>
      <c r="D1196" s="35"/>
      <c r="E1196" s="35"/>
      <c r="F1196" s="35"/>
      <c r="G1196" s="35"/>
      <c r="H1196" s="34"/>
      <c r="I1196" s="34"/>
      <c r="J1196" s="34"/>
      <c r="K1196" s="34"/>
      <c r="L1196" s="34"/>
      <c r="M1196" s="34"/>
      <c r="N1196" s="34"/>
      <c r="O1196" s="34"/>
    </row>
    <row r="1197">
      <c r="A1197" s="33"/>
      <c r="B1197" s="34"/>
      <c r="C1197" s="34"/>
      <c r="D1197" s="35"/>
      <c r="E1197" s="35"/>
      <c r="F1197" s="35"/>
      <c r="G1197" s="35"/>
      <c r="H1197" s="34"/>
      <c r="I1197" s="34"/>
      <c r="J1197" s="34"/>
      <c r="K1197" s="34"/>
      <c r="L1197" s="34"/>
      <c r="M1197" s="34"/>
      <c r="N1197" s="34"/>
      <c r="O1197" s="34"/>
    </row>
    <row r="1198">
      <c r="A1198" s="33"/>
      <c r="B1198" s="34"/>
      <c r="C1198" s="34"/>
      <c r="D1198" s="35"/>
      <c r="E1198" s="35"/>
      <c r="F1198" s="35"/>
      <c r="G1198" s="35"/>
      <c r="H1198" s="34"/>
      <c r="I1198" s="34"/>
      <c r="J1198" s="34"/>
      <c r="K1198" s="34"/>
      <c r="L1198" s="34"/>
      <c r="M1198" s="34"/>
      <c r="N1198" s="34"/>
      <c r="O1198" s="34"/>
    </row>
    <row r="1199">
      <c r="A1199" s="33"/>
      <c r="B1199" s="34"/>
      <c r="C1199" s="34"/>
      <c r="D1199" s="35"/>
      <c r="E1199" s="35"/>
      <c r="F1199" s="35"/>
      <c r="G1199" s="35"/>
      <c r="H1199" s="34"/>
      <c r="I1199" s="34"/>
      <c r="J1199" s="34"/>
      <c r="K1199" s="34"/>
      <c r="L1199" s="34"/>
      <c r="M1199" s="34"/>
      <c r="N1199" s="34"/>
      <c r="O1199" s="34"/>
    </row>
    <row r="1200">
      <c r="A1200" s="33"/>
      <c r="B1200" s="34"/>
      <c r="C1200" s="34"/>
      <c r="D1200" s="35"/>
      <c r="E1200" s="35"/>
      <c r="F1200" s="35"/>
      <c r="G1200" s="35"/>
      <c r="H1200" s="34"/>
      <c r="I1200" s="34"/>
      <c r="J1200" s="34"/>
      <c r="K1200" s="34"/>
      <c r="L1200" s="34"/>
      <c r="M1200" s="34"/>
      <c r="N1200" s="34"/>
      <c r="O1200" s="34"/>
    </row>
    <row r="1201">
      <c r="A1201" s="33"/>
      <c r="B1201" s="34"/>
      <c r="C1201" s="34"/>
      <c r="D1201" s="35"/>
      <c r="E1201" s="35"/>
      <c r="F1201" s="35"/>
      <c r="G1201" s="35"/>
      <c r="H1201" s="34"/>
      <c r="I1201" s="34"/>
      <c r="J1201" s="34"/>
      <c r="K1201" s="34"/>
      <c r="L1201" s="34"/>
      <c r="M1201" s="34"/>
      <c r="N1201" s="34"/>
      <c r="O1201" s="34"/>
    </row>
    <row r="1202">
      <c r="A1202" s="33"/>
      <c r="B1202" s="34"/>
      <c r="C1202" s="34"/>
      <c r="D1202" s="35"/>
      <c r="E1202" s="35"/>
      <c r="F1202" s="35"/>
      <c r="G1202" s="35"/>
      <c r="H1202" s="34"/>
      <c r="I1202" s="34"/>
      <c r="J1202" s="34"/>
      <c r="K1202" s="34"/>
      <c r="L1202" s="34"/>
      <c r="M1202" s="34"/>
      <c r="N1202" s="34"/>
      <c r="O1202" s="34"/>
    </row>
    <row r="1203">
      <c r="A1203" s="33"/>
      <c r="B1203" s="34"/>
      <c r="C1203" s="34"/>
      <c r="D1203" s="35"/>
      <c r="E1203" s="35"/>
      <c r="F1203" s="35"/>
      <c r="G1203" s="35"/>
      <c r="H1203" s="34"/>
      <c r="I1203" s="34"/>
      <c r="J1203" s="34"/>
      <c r="K1203" s="34"/>
      <c r="L1203" s="34"/>
      <c r="M1203" s="34"/>
      <c r="N1203" s="34"/>
      <c r="O1203" s="34"/>
    </row>
    <row r="1204">
      <c r="A1204" s="33"/>
      <c r="B1204" s="34"/>
      <c r="C1204" s="34"/>
      <c r="D1204" s="35"/>
      <c r="E1204" s="35"/>
      <c r="F1204" s="35"/>
      <c r="G1204" s="35"/>
      <c r="H1204" s="34"/>
      <c r="I1204" s="34"/>
      <c r="J1204" s="34"/>
      <c r="K1204" s="34"/>
      <c r="L1204" s="34"/>
      <c r="M1204" s="34"/>
      <c r="N1204" s="34"/>
      <c r="O1204" s="34"/>
    </row>
    <row r="1205">
      <c r="A1205" s="33"/>
      <c r="B1205" s="34"/>
      <c r="C1205" s="34"/>
      <c r="D1205" s="35"/>
      <c r="E1205" s="35"/>
      <c r="F1205" s="35"/>
      <c r="G1205" s="35"/>
      <c r="H1205" s="34"/>
      <c r="I1205" s="34"/>
      <c r="J1205" s="34"/>
      <c r="K1205" s="34"/>
      <c r="L1205" s="34"/>
      <c r="M1205" s="34"/>
      <c r="N1205" s="34"/>
      <c r="O1205" s="34"/>
    </row>
    <row r="1206">
      <c r="A1206" s="33"/>
      <c r="B1206" s="34"/>
      <c r="C1206" s="34"/>
      <c r="D1206" s="35"/>
      <c r="E1206" s="35"/>
      <c r="F1206" s="35"/>
      <c r="G1206" s="35"/>
      <c r="H1206" s="34"/>
      <c r="I1206" s="34"/>
      <c r="J1206" s="34"/>
      <c r="K1206" s="34"/>
      <c r="L1206" s="34"/>
      <c r="M1206" s="34"/>
      <c r="N1206" s="34"/>
      <c r="O1206" s="34"/>
    </row>
    <row r="1207">
      <c r="A1207" s="33"/>
      <c r="B1207" s="34"/>
      <c r="C1207" s="34"/>
      <c r="D1207" s="35"/>
      <c r="E1207" s="35"/>
      <c r="F1207" s="35"/>
      <c r="G1207" s="35"/>
      <c r="H1207" s="34"/>
      <c r="I1207" s="34"/>
      <c r="J1207" s="34"/>
      <c r="K1207" s="34"/>
      <c r="L1207" s="34"/>
      <c r="M1207" s="34"/>
      <c r="N1207" s="34"/>
      <c r="O1207" s="34"/>
    </row>
    <row r="1208">
      <c r="A1208" s="33"/>
      <c r="B1208" s="34"/>
      <c r="C1208" s="34"/>
      <c r="D1208" s="35"/>
      <c r="E1208" s="35"/>
      <c r="F1208" s="35"/>
      <c r="G1208" s="35"/>
      <c r="H1208" s="34"/>
      <c r="I1208" s="34"/>
      <c r="J1208" s="34"/>
      <c r="K1208" s="34"/>
      <c r="L1208" s="34"/>
      <c r="M1208" s="34"/>
      <c r="N1208" s="34"/>
      <c r="O1208" s="34"/>
    </row>
    <row r="1209">
      <c r="A1209" s="33"/>
      <c r="B1209" s="34"/>
      <c r="C1209" s="34"/>
      <c r="D1209" s="35"/>
      <c r="E1209" s="35"/>
      <c r="F1209" s="35"/>
      <c r="G1209" s="35"/>
      <c r="H1209" s="34"/>
      <c r="I1209" s="34"/>
      <c r="J1209" s="34"/>
      <c r="K1209" s="34"/>
      <c r="L1209" s="34"/>
      <c r="M1209" s="34"/>
      <c r="N1209" s="34"/>
      <c r="O1209" s="34"/>
    </row>
    <row r="1210">
      <c r="A1210" s="33"/>
      <c r="B1210" s="34"/>
      <c r="C1210" s="34"/>
      <c r="D1210" s="35"/>
      <c r="E1210" s="35"/>
      <c r="F1210" s="35"/>
      <c r="G1210" s="35"/>
      <c r="H1210" s="34"/>
      <c r="I1210" s="34"/>
      <c r="J1210" s="34"/>
      <c r="K1210" s="34"/>
      <c r="L1210" s="34"/>
      <c r="M1210" s="34"/>
      <c r="N1210" s="34"/>
      <c r="O1210" s="34"/>
    </row>
    <row r="1211">
      <c r="A1211" s="33"/>
      <c r="B1211" s="34"/>
      <c r="C1211" s="34"/>
      <c r="D1211" s="35"/>
      <c r="E1211" s="35"/>
      <c r="F1211" s="35"/>
      <c r="G1211" s="35"/>
      <c r="H1211" s="34"/>
      <c r="I1211" s="34"/>
      <c r="J1211" s="34"/>
      <c r="K1211" s="34"/>
      <c r="L1211" s="34"/>
      <c r="M1211" s="34"/>
      <c r="N1211" s="34"/>
      <c r="O1211" s="34"/>
    </row>
    <row r="1212">
      <c r="A1212" s="33"/>
      <c r="B1212" s="34"/>
      <c r="C1212" s="34"/>
      <c r="D1212" s="35"/>
      <c r="E1212" s="35"/>
      <c r="F1212" s="35"/>
      <c r="G1212" s="35"/>
      <c r="H1212" s="34"/>
      <c r="I1212" s="34"/>
      <c r="J1212" s="34"/>
      <c r="K1212" s="34"/>
      <c r="L1212" s="34"/>
      <c r="M1212" s="34"/>
      <c r="N1212" s="34"/>
      <c r="O1212" s="34"/>
    </row>
    <row r="1213">
      <c r="A1213" s="33"/>
      <c r="B1213" s="34"/>
      <c r="C1213" s="34"/>
      <c r="D1213" s="35"/>
      <c r="E1213" s="35"/>
      <c r="F1213" s="35"/>
      <c r="G1213" s="35"/>
      <c r="H1213" s="34"/>
      <c r="I1213" s="34"/>
      <c r="J1213" s="34"/>
      <c r="K1213" s="34"/>
      <c r="L1213" s="34"/>
      <c r="M1213" s="34"/>
      <c r="N1213" s="34"/>
      <c r="O1213" s="34"/>
    </row>
    <row r="1214">
      <c r="A1214" s="33"/>
      <c r="B1214" s="34"/>
      <c r="C1214" s="34"/>
      <c r="D1214" s="35"/>
      <c r="E1214" s="35"/>
      <c r="F1214" s="35"/>
      <c r="G1214" s="35"/>
      <c r="H1214" s="34"/>
      <c r="I1214" s="34"/>
      <c r="J1214" s="34"/>
      <c r="K1214" s="34"/>
      <c r="L1214" s="34"/>
      <c r="M1214" s="34"/>
      <c r="N1214" s="34"/>
      <c r="O1214" s="34"/>
    </row>
    <row r="1215">
      <c r="A1215" s="33"/>
      <c r="B1215" s="34"/>
      <c r="C1215" s="34"/>
      <c r="D1215" s="35"/>
      <c r="E1215" s="35"/>
      <c r="F1215" s="35"/>
      <c r="G1215" s="35"/>
      <c r="H1215" s="34"/>
      <c r="I1215" s="34"/>
      <c r="J1215" s="34"/>
      <c r="K1215" s="34"/>
      <c r="L1215" s="34"/>
      <c r="M1215" s="34"/>
      <c r="N1215" s="34"/>
      <c r="O1215" s="34"/>
    </row>
    <row r="1216">
      <c r="A1216" s="33"/>
      <c r="B1216" s="34"/>
      <c r="C1216" s="34"/>
      <c r="D1216" s="35"/>
      <c r="E1216" s="35"/>
      <c r="F1216" s="35"/>
      <c r="G1216" s="35"/>
      <c r="H1216" s="34"/>
      <c r="I1216" s="34"/>
      <c r="J1216" s="34"/>
      <c r="K1216" s="34"/>
      <c r="L1216" s="34"/>
      <c r="M1216" s="34"/>
      <c r="N1216" s="34"/>
      <c r="O1216" s="34"/>
    </row>
    <row r="1217">
      <c r="A1217" s="33"/>
      <c r="B1217" s="34"/>
      <c r="C1217" s="34"/>
      <c r="D1217" s="35"/>
      <c r="E1217" s="35"/>
      <c r="F1217" s="35"/>
      <c r="G1217" s="35"/>
      <c r="H1217" s="34"/>
      <c r="I1217" s="34"/>
      <c r="J1217" s="34"/>
      <c r="K1217" s="34"/>
      <c r="L1217" s="34"/>
      <c r="M1217" s="34"/>
      <c r="N1217" s="34"/>
      <c r="O1217" s="34"/>
    </row>
    <row r="1218">
      <c r="A1218" s="33"/>
      <c r="B1218" s="34"/>
      <c r="C1218" s="34"/>
      <c r="D1218" s="35"/>
      <c r="E1218" s="35"/>
      <c r="F1218" s="35"/>
      <c r="G1218" s="35"/>
      <c r="H1218" s="34"/>
      <c r="I1218" s="34"/>
      <c r="J1218" s="34"/>
      <c r="K1218" s="34"/>
      <c r="L1218" s="34"/>
      <c r="M1218" s="34"/>
      <c r="N1218" s="34"/>
      <c r="O1218" s="34"/>
    </row>
    <row r="1219">
      <c r="A1219" s="33"/>
      <c r="B1219" s="34"/>
      <c r="C1219" s="34"/>
      <c r="D1219" s="35"/>
      <c r="E1219" s="35"/>
      <c r="F1219" s="35"/>
      <c r="G1219" s="35"/>
      <c r="H1219" s="34"/>
      <c r="I1219" s="34"/>
      <c r="J1219" s="34"/>
      <c r="K1219" s="34"/>
      <c r="L1219" s="34"/>
      <c r="M1219" s="34"/>
      <c r="N1219" s="34"/>
      <c r="O1219" s="34"/>
    </row>
    <row r="1220">
      <c r="A1220" s="33"/>
      <c r="B1220" s="34"/>
      <c r="C1220" s="34"/>
      <c r="D1220" s="35"/>
      <c r="E1220" s="35"/>
      <c r="F1220" s="35"/>
      <c r="G1220" s="35"/>
      <c r="H1220" s="34"/>
      <c r="I1220" s="34"/>
      <c r="J1220" s="34"/>
      <c r="K1220" s="34"/>
      <c r="L1220" s="34"/>
      <c r="M1220" s="34"/>
      <c r="N1220" s="34"/>
      <c r="O1220" s="34"/>
    </row>
    <row r="1221">
      <c r="A1221" s="33"/>
      <c r="B1221" s="34"/>
      <c r="C1221" s="34"/>
      <c r="D1221" s="35"/>
      <c r="E1221" s="35"/>
      <c r="F1221" s="35"/>
      <c r="G1221" s="35"/>
      <c r="H1221" s="34"/>
      <c r="I1221" s="34"/>
      <c r="J1221" s="34"/>
      <c r="K1221" s="34"/>
      <c r="L1221" s="34"/>
      <c r="M1221" s="34"/>
      <c r="N1221" s="34"/>
      <c r="O1221" s="34"/>
    </row>
    <row r="1222">
      <c r="A1222" s="33"/>
      <c r="B1222" s="34"/>
      <c r="C1222" s="34"/>
      <c r="D1222" s="35"/>
      <c r="E1222" s="35"/>
      <c r="F1222" s="35"/>
      <c r="G1222" s="35"/>
      <c r="H1222" s="34"/>
      <c r="I1222" s="34"/>
      <c r="J1222" s="34"/>
      <c r="K1222" s="34"/>
      <c r="L1222" s="34"/>
      <c r="M1222" s="34"/>
      <c r="N1222" s="34"/>
      <c r="O1222" s="34"/>
    </row>
  </sheetData>
  <mergeCells count="49">
    <mergeCell ref="C197:C200"/>
    <mergeCell ref="C201:C203"/>
    <mergeCell ref="A227:O237"/>
    <mergeCell ref="C158:C159"/>
    <mergeCell ref="C162:C176"/>
    <mergeCell ref="C177:C184"/>
    <mergeCell ref="C185:C187"/>
    <mergeCell ref="C188:C192"/>
    <mergeCell ref="C193:C194"/>
    <mergeCell ref="C195:C196"/>
    <mergeCell ref="C21:C29"/>
    <mergeCell ref="C30:C37"/>
    <mergeCell ref="C38:C57"/>
    <mergeCell ref="C58:C59"/>
    <mergeCell ref="B2:B59"/>
    <mergeCell ref="C2:C7"/>
    <mergeCell ref="C8:C12"/>
    <mergeCell ref="C13:C14"/>
    <mergeCell ref="C15:C16"/>
    <mergeCell ref="C17:C20"/>
    <mergeCell ref="D17:D20"/>
    <mergeCell ref="B78:B91"/>
    <mergeCell ref="B92:B144"/>
    <mergeCell ref="B145:B176"/>
    <mergeCell ref="B177:B226"/>
    <mergeCell ref="B60:B77"/>
    <mergeCell ref="C60:C70"/>
    <mergeCell ref="C71:C74"/>
    <mergeCell ref="C75:C76"/>
    <mergeCell ref="C78:C81"/>
    <mergeCell ref="C82:C84"/>
    <mergeCell ref="C85:C91"/>
    <mergeCell ref="C92:C95"/>
    <mergeCell ref="D92:D95"/>
    <mergeCell ref="C96:C106"/>
    <mergeCell ref="C107:C112"/>
    <mergeCell ref="C113:C123"/>
    <mergeCell ref="C124:C125"/>
    <mergeCell ref="C127:C130"/>
    <mergeCell ref="C206:C209"/>
    <mergeCell ref="C210:C214"/>
    <mergeCell ref="C215:C226"/>
    <mergeCell ref="C131:C133"/>
    <mergeCell ref="C134:C135"/>
    <mergeCell ref="C136:C137"/>
    <mergeCell ref="C138:C139"/>
    <mergeCell ref="C141:C144"/>
    <mergeCell ref="C145:C148"/>
    <mergeCell ref="C150:C157"/>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25"/>
    <col customWidth="1" min="2" max="2" width="23.25"/>
    <col customWidth="1" min="3" max="4" width="35.5"/>
    <col customWidth="1" min="5" max="5" width="24.5"/>
    <col customWidth="1" min="6" max="6" width="24.75"/>
  </cols>
  <sheetData>
    <row r="1">
      <c r="A1" s="36" t="s">
        <v>2038</v>
      </c>
    </row>
    <row r="2">
      <c r="A2" s="37" t="s">
        <v>0</v>
      </c>
      <c r="B2" s="37" t="s">
        <v>2039</v>
      </c>
      <c r="C2" s="37" t="s">
        <v>2040</v>
      </c>
      <c r="D2" s="37" t="s">
        <v>2041</v>
      </c>
      <c r="E2" s="37" t="s">
        <v>2042</v>
      </c>
      <c r="F2" s="38" t="s">
        <v>2043</v>
      </c>
    </row>
    <row r="3">
      <c r="A3" s="39">
        <v>1.0</v>
      </c>
      <c r="B3" s="40" t="s">
        <v>15</v>
      </c>
      <c r="C3" s="41" t="s">
        <v>2044</v>
      </c>
      <c r="D3" s="41" t="s">
        <v>2045</v>
      </c>
      <c r="E3" s="42">
        <v>58.0</v>
      </c>
      <c r="F3" s="43">
        <v>0.258</v>
      </c>
    </row>
    <row r="4">
      <c r="A4" s="44">
        <v>2.0</v>
      </c>
      <c r="B4" s="45" t="s">
        <v>544</v>
      </c>
      <c r="C4" s="46" t="s">
        <v>2046</v>
      </c>
      <c r="D4" s="46" t="s">
        <v>2047</v>
      </c>
      <c r="E4" s="47">
        <v>18.0</v>
      </c>
      <c r="F4" s="48">
        <v>0.08</v>
      </c>
    </row>
    <row r="5">
      <c r="A5" s="49">
        <v>3.0</v>
      </c>
      <c r="B5" s="50" t="s">
        <v>715</v>
      </c>
      <c r="C5" s="41" t="s">
        <v>2048</v>
      </c>
      <c r="D5" s="41" t="s">
        <v>2049</v>
      </c>
      <c r="E5" s="51">
        <v>14.0</v>
      </c>
      <c r="F5" s="43">
        <v>0.0622</v>
      </c>
    </row>
    <row r="6">
      <c r="A6" s="52">
        <v>4.0</v>
      </c>
      <c r="B6" s="53" t="s">
        <v>849</v>
      </c>
      <c r="C6" s="46" t="s">
        <v>2050</v>
      </c>
      <c r="D6" s="46" t="s">
        <v>2051</v>
      </c>
      <c r="E6" s="54">
        <v>53.0</v>
      </c>
      <c r="F6" s="48">
        <v>0.24</v>
      </c>
    </row>
    <row r="7">
      <c r="A7" s="55">
        <v>5.0</v>
      </c>
      <c r="B7" s="56" t="s">
        <v>1309</v>
      </c>
      <c r="C7" s="41" t="s">
        <v>2052</v>
      </c>
      <c r="D7" s="41" t="s">
        <v>2053</v>
      </c>
      <c r="E7" s="57">
        <v>32.0</v>
      </c>
      <c r="F7" s="43">
        <v>0.14</v>
      </c>
    </row>
    <row r="8">
      <c r="A8" s="58">
        <v>6.0</v>
      </c>
      <c r="B8" s="59" t="s">
        <v>2054</v>
      </c>
      <c r="C8" s="46" t="s">
        <v>2055</v>
      </c>
      <c r="D8" s="46" t="s">
        <v>2056</v>
      </c>
      <c r="E8" s="60">
        <v>50.0</v>
      </c>
      <c r="F8" s="48">
        <v>0.22</v>
      </c>
    </row>
    <row r="9">
      <c r="A9" s="61" t="s">
        <v>2057</v>
      </c>
      <c r="B9" s="62"/>
      <c r="C9" s="63" t="s">
        <v>2058</v>
      </c>
      <c r="D9" s="64" t="s">
        <v>2059</v>
      </c>
      <c r="E9" s="63">
        <v>225.0</v>
      </c>
      <c r="F9" s="65">
        <f>SUM(F3:F8)</f>
        <v>1.0002</v>
      </c>
    </row>
    <row r="10">
      <c r="A10" s="66"/>
      <c r="B10" s="66"/>
      <c r="C10" s="66"/>
      <c r="D10" s="66"/>
      <c r="E10" s="66"/>
      <c r="F10" s="67"/>
    </row>
    <row r="11">
      <c r="A11" s="66"/>
      <c r="B11" s="66"/>
      <c r="C11" s="66"/>
      <c r="D11" s="66"/>
      <c r="E11" s="66"/>
      <c r="F11" s="67"/>
    </row>
    <row r="12">
      <c r="A12" s="66"/>
      <c r="B12" s="66"/>
      <c r="C12" s="66"/>
      <c r="D12" s="66"/>
      <c r="E12" s="66"/>
      <c r="F12" s="67"/>
    </row>
    <row r="13">
      <c r="A13" s="66"/>
      <c r="B13" s="66"/>
      <c r="C13" s="66"/>
      <c r="D13" s="66"/>
      <c r="E13" s="66"/>
      <c r="F13" s="67"/>
    </row>
    <row r="14">
      <c r="A14" s="66"/>
      <c r="B14" s="66"/>
      <c r="C14" s="66"/>
      <c r="D14" s="66"/>
      <c r="E14" s="66"/>
      <c r="F14" s="67"/>
    </row>
    <row r="15">
      <c r="A15" s="66"/>
      <c r="B15" s="66"/>
      <c r="C15" s="66"/>
      <c r="D15" s="66"/>
      <c r="E15" s="66"/>
      <c r="F15" s="67"/>
    </row>
    <row r="16">
      <c r="A16" s="66"/>
      <c r="B16" s="66"/>
      <c r="C16" s="66"/>
      <c r="D16" s="66"/>
      <c r="E16" s="66"/>
      <c r="F16" s="67"/>
    </row>
    <row r="17">
      <c r="A17" s="66"/>
      <c r="B17" s="66"/>
      <c r="C17" s="66"/>
      <c r="D17" s="66"/>
      <c r="E17" s="66"/>
      <c r="F17" s="67"/>
    </row>
    <row r="18">
      <c r="A18" s="66"/>
      <c r="B18" s="66"/>
      <c r="C18" s="66"/>
      <c r="D18" s="66"/>
      <c r="E18" s="66"/>
      <c r="F18" s="67"/>
    </row>
    <row r="19">
      <c r="A19" s="66"/>
      <c r="B19" s="66"/>
      <c r="C19" s="66"/>
      <c r="D19" s="66"/>
      <c r="E19" s="66"/>
      <c r="F19" s="67"/>
    </row>
    <row r="20">
      <c r="A20" s="66"/>
      <c r="B20" s="66"/>
      <c r="C20" s="66"/>
      <c r="D20" s="66"/>
      <c r="E20" s="66"/>
      <c r="F20" s="67"/>
    </row>
    <row r="21">
      <c r="A21" s="66"/>
      <c r="B21" s="66"/>
      <c r="C21" s="66"/>
      <c r="D21" s="66"/>
      <c r="E21" s="66"/>
      <c r="F21" s="67"/>
    </row>
    <row r="22">
      <c r="A22" s="66"/>
      <c r="B22" s="66"/>
      <c r="C22" s="66"/>
      <c r="D22" s="66"/>
      <c r="E22" s="66"/>
      <c r="F22" s="67"/>
    </row>
    <row r="23">
      <c r="A23" s="66"/>
      <c r="B23" s="66"/>
      <c r="C23" s="66"/>
      <c r="D23" s="66"/>
      <c r="E23" s="66"/>
      <c r="F23" s="67"/>
    </row>
    <row r="24">
      <c r="A24" s="66"/>
      <c r="B24" s="66"/>
      <c r="C24" s="66"/>
      <c r="D24" s="66"/>
      <c r="E24" s="66"/>
      <c r="F24" s="67"/>
    </row>
    <row r="25">
      <c r="A25" s="66"/>
      <c r="B25" s="66"/>
      <c r="C25" s="66"/>
      <c r="D25" s="66"/>
      <c r="E25" s="66"/>
      <c r="F25" s="67"/>
    </row>
    <row r="26">
      <c r="A26" s="66"/>
      <c r="B26" s="66"/>
      <c r="C26" s="66"/>
      <c r="D26" s="66"/>
      <c r="E26" s="66"/>
      <c r="F26" s="67"/>
    </row>
    <row r="27">
      <c r="A27" s="66"/>
      <c r="B27" s="66"/>
      <c r="C27" s="66"/>
      <c r="D27" s="66"/>
      <c r="E27" s="66"/>
      <c r="F27" s="67"/>
    </row>
    <row r="28">
      <c r="A28" s="66"/>
      <c r="B28" s="66"/>
      <c r="C28" s="66"/>
      <c r="D28" s="66"/>
      <c r="E28" s="66"/>
      <c r="F28" s="67"/>
    </row>
    <row r="29">
      <c r="A29" s="66"/>
      <c r="B29" s="66"/>
      <c r="C29" s="66"/>
      <c r="D29" s="66"/>
      <c r="E29" s="66"/>
      <c r="F29" s="67"/>
    </row>
    <row r="30">
      <c r="A30" s="66"/>
      <c r="B30" s="66"/>
      <c r="C30" s="66"/>
      <c r="D30" s="66"/>
      <c r="E30" s="66"/>
      <c r="F30" s="67"/>
    </row>
    <row r="31">
      <c r="A31" s="66"/>
      <c r="B31" s="66"/>
      <c r="C31" s="66"/>
      <c r="D31" s="66"/>
      <c r="E31" s="66"/>
      <c r="F31" s="67"/>
    </row>
    <row r="32">
      <c r="A32" s="66"/>
      <c r="B32" s="66"/>
      <c r="C32" s="66"/>
      <c r="D32" s="66"/>
      <c r="E32" s="66"/>
      <c r="F32" s="67"/>
    </row>
    <row r="33">
      <c r="A33" s="66"/>
      <c r="B33" s="66"/>
      <c r="C33" s="66"/>
      <c r="D33" s="66"/>
      <c r="E33" s="66"/>
      <c r="F33" s="67"/>
    </row>
    <row r="34">
      <c r="A34" s="66"/>
      <c r="B34" s="66"/>
      <c r="C34" s="66"/>
      <c r="D34" s="66"/>
      <c r="E34" s="66"/>
      <c r="F34" s="67"/>
    </row>
    <row r="35">
      <c r="A35" s="66"/>
      <c r="B35" s="66"/>
      <c r="C35" s="66"/>
      <c r="D35" s="66"/>
      <c r="E35" s="66"/>
      <c r="F35" s="67"/>
    </row>
    <row r="36">
      <c r="A36" s="66"/>
      <c r="B36" s="66"/>
      <c r="C36" s="66"/>
      <c r="D36" s="66"/>
      <c r="E36" s="66"/>
      <c r="F36" s="67"/>
    </row>
    <row r="37">
      <c r="A37" s="66"/>
      <c r="B37" s="66"/>
      <c r="C37" s="66"/>
      <c r="D37" s="66"/>
      <c r="E37" s="66"/>
      <c r="F37" s="67"/>
    </row>
    <row r="38">
      <c r="A38" s="66"/>
      <c r="B38" s="66"/>
      <c r="C38" s="66"/>
      <c r="D38" s="66"/>
      <c r="E38" s="66"/>
      <c r="F38" s="67"/>
    </row>
    <row r="39">
      <c r="A39" s="66"/>
      <c r="B39" s="66"/>
      <c r="C39" s="66"/>
      <c r="D39" s="66"/>
      <c r="E39" s="66"/>
      <c r="F39" s="67"/>
    </row>
    <row r="40">
      <c r="A40" s="66"/>
      <c r="B40" s="66"/>
      <c r="C40" s="66"/>
      <c r="D40" s="66"/>
      <c r="E40" s="66"/>
      <c r="F40" s="67"/>
    </row>
    <row r="41">
      <c r="A41" s="66"/>
      <c r="B41" s="66"/>
      <c r="C41" s="66"/>
      <c r="D41" s="66"/>
      <c r="E41" s="66"/>
      <c r="F41" s="67"/>
    </row>
    <row r="42">
      <c r="A42" s="66"/>
      <c r="B42" s="66"/>
      <c r="C42" s="66"/>
      <c r="D42" s="66"/>
      <c r="E42" s="66"/>
      <c r="F42" s="67"/>
    </row>
    <row r="43">
      <c r="A43" s="66"/>
      <c r="B43" s="66"/>
      <c r="C43" s="66"/>
      <c r="D43" s="66"/>
      <c r="E43" s="66"/>
      <c r="F43" s="67"/>
    </row>
    <row r="44">
      <c r="A44" s="66"/>
      <c r="B44" s="66"/>
      <c r="C44" s="66"/>
      <c r="D44" s="66"/>
      <c r="E44" s="66"/>
      <c r="F44" s="67"/>
    </row>
    <row r="45">
      <c r="A45" s="66"/>
      <c r="B45" s="66"/>
      <c r="C45" s="66"/>
      <c r="D45" s="66"/>
      <c r="E45" s="66"/>
      <c r="F45" s="67"/>
    </row>
    <row r="46">
      <c r="A46" s="66"/>
      <c r="B46" s="66"/>
      <c r="C46" s="66"/>
      <c r="D46" s="66"/>
      <c r="E46" s="66"/>
      <c r="F46" s="67"/>
    </row>
    <row r="47">
      <c r="A47" s="66"/>
      <c r="B47" s="66"/>
      <c r="C47" s="66"/>
      <c r="D47" s="66"/>
      <c r="E47" s="66"/>
      <c r="F47" s="67"/>
    </row>
    <row r="48">
      <c r="A48" s="66"/>
      <c r="B48" s="66"/>
      <c r="C48" s="66"/>
      <c r="D48" s="66"/>
      <c r="E48" s="66"/>
      <c r="F48" s="67"/>
    </row>
    <row r="49">
      <c r="A49" s="66"/>
      <c r="B49" s="66"/>
      <c r="C49" s="66"/>
      <c r="D49" s="66"/>
      <c r="E49" s="66"/>
      <c r="F49" s="67"/>
    </row>
    <row r="50">
      <c r="A50" s="66"/>
      <c r="B50" s="66"/>
      <c r="C50" s="66"/>
      <c r="D50" s="66"/>
      <c r="E50" s="66"/>
      <c r="F50" s="67"/>
    </row>
    <row r="51">
      <c r="A51" s="66"/>
      <c r="B51" s="66"/>
      <c r="C51" s="66"/>
      <c r="D51" s="66"/>
      <c r="E51" s="66"/>
      <c r="F51" s="67"/>
    </row>
    <row r="52">
      <c r="A52" s="66"/>
      <c r="B52" s="66"/>
      <c r="C52" s="66"/>
      <c r="D52" s="66"/>
      <c r="E52" s="66"/>
      <c r="F52" s="67"/>
    </row>
    <row r="53">
      <c r="A53" s="66"/>
      <c r="B53" s="66"/>
      <c r="C53" s="66"/>
      <c r="D53" s="66"/>
      <c r="E53" s="66"/>
      <c r="F53" s="67"/>
    </row>
    <row r="54">
      <c r="A54" s="66"/>
      <c r="B54" s="66"/>
      <c r="C54" s="66"/>
      <c r="D54" s="66"/>
      <c r="E54" s="66"/>
      <c r="F54" s="67"/>
    </row>
    <row r="55">
      <c r="A55" s="66"/>
      <c r="B55" s="66"/>
      <c r="C55" s="66"/>
      <c r="D55" s="66"/>
      <c r="E55" s="66"/>
      <c r="F55" s="67"/>
    </row>
    <row r="56">
      <c r="A56" s="66"/>
      <c r="B56" s="66"/>
      <c r="C56" s="66"/>
      <c r="D56" s="66"/>
      <c r="E56" s="66"/>
      <c r="F56" s="67"/>
    </row>
    <row r="57">
      <c r="A57" s="66"/>
      <c r="B57" s="66"/>
      <c r="C57" s="66"/>
      <c r="D57" s="66"/>
      <c r="E57" s="66"/>
      <c r="F57" s="67"/>
    </row>
    <row r="58">
      <c r="A58" s="66"/>
      <c r="B58" s="66"/>
      <c r="C58" s="66"/>
      <c r="D58" s="66"/>
      <c r="E58" s="66"/>
      <c r="F58" s="67"/>
    </row>
    <row r="59">
      <c r="A59" s="66"/>
      <c r="B59" s="66"/>
      <c r="C59" s="66"/>
      <c r="D59" s="66"/>
      <c r="E59" s="66"/>
      <c r="F59" s="67"/>
    </row>
    <row r="60">
      <c r="A60" s="66"/>
      <c r="B60" s="66"/>
      <c r="C60" s="66"/>
      <c r="D60" s="66"/>
      <c r="E60" s="66"/>
      <c r="F60" s="67"/>
    </row>
    <row r="61">
      <c r="A61" s="66"/>
      <c r="B61" s="66"/>
      <c r="C61" s="66"/>
      <c r="D61" s="66"/>
      <c r="E61" s="66"/>
      <c r="F61" s="67"/>
    </row>
    <row r="62">
      <c r="A62" s="66"/>
      <c r="B62" s="66"/>
      <c r="C62" s="66"/>
      <c r="D62" s="66"/>
      <c r="E62" s="66"/>
      <c r="F62" s="67"/>
    </row>
    <row r="63">
      <c r="A63" s="66"/>
      <c r="B63" s="66"/>
      <c r="C63" s="66"/>
      <c r="D63" s="66"/>
      <c r="E63" s="66"/>
      <c r="F63" s="67"/>
    </row>
    <row r="64">
      <c r="A64" s="66"/>
      <c r="B64" s="66"/>
      <c r="C64" s="66"/>
      <c r="D64" s="66"/>
      <c r="E64" s="66"/>
      <c r="F64" s="67"/>
    </row>
    <row r="65">
      <c r="A65" s="66"/>
      <c r="B65" s="66"/>
      <c r="C65" s="66"/>
      <c r="D65" s="66"/>
      <c r="E65" s="66"/>
      <c r="F65" s="67"/>
    </row>
    <row r="66">
      <c r="A66" s="66"/>
      <c r="B66" s="66"/>
      <c r="C66" s="66"/>
      <c r="D66" s="66"/>
      <c r="E66" s="66"/>
      <c r="F66" s="67"/>
    </row>
    <row r="67">
      <c r="A67" s="66"/>
      <c r="B67" s="66"/>
      <c r="C67" s="66"/>
      <c r="D67" s="66"/>
      <c r="E67" s="66"/>
      <c r="F67" s="67"/>
    </row>
    <row r="68">
      <c r="A68" s="66"/>
      <c r="B68" s="66"/>
      <c r="C68" s="66"/>
      <c r="D68" s="66"/>
      <c r="E68" s="66"/>
      <c r="F68" s="67"/>
    </row>
    <row r="69">
      <c r="A69" s="66"/>
      <c r="B69" s="66"/>
      <c r="C69" s="66"/>
      <c r="D69" s="66"/>
      <c r="E69" s="66"/>
      <c r="F69" s="67"/>
    </row>
    <row r="70">
      <c r="A70" s="66"/>
      <c r="B70" s="66"/>
      <c r="C70" s="66"/>
      <c r="D70" s="66"/>
      <c r="E70" s="66"/>
      <c r="F70" s="67"/>
    </row>
    <row r="71">
      <c r="A71" s="66"/>
      <c r="B71" s="66"/>
      <c r="C71" s="66"/>
      <c r="D71" s="66"/>
      <c r="E71" s="66"/>
      <c r="F71" s="67"/>
    </row>
    <row r="72">
      <c r="A72" s="66"/>
      <c r="B72" s="66"/>
      <c r="C72" s="66"/>
      <c r="D72" s="66"/>
      <c r="E72" s="66"/>
      <c r="F72" s="67"/>
    </row>
    <row r="73">
      <c r="A73" s="66"/>
      <c r="B73" s="66"/>
      <c r="C73" s="66"/>
      <c r="D73" s="66"/>
      <c r="E73" s="66"/>
      <c r="F73" s="67"/>
    </row>
    <row r="74">
      <c r="A74" s="66"/>
      <c r="B74" s="66"/>
      <c r="C74" s="66"/>
      <c r="D74" s="66"/>
      <c r="E74" s="66"/>
      <c r="F74" s="67"/>
    </row>
    <row r="75">
      <c r="A75" s="66"/>
      <c r="B75" s="66"/>
      <c r="C75" s="66"/>
      <c r="D75" s="66"/>
      <c r="E75" s="66"/>
      <c r="F75" s="67"/>
    </row>
    <row r="76">
      <c r="A76" s="66"/>
      <c r="B76" s="66"/>
      <c r="C76" s="66"/>
      <c r="D76" s="66"/>
      <c r="E76" s="66"/>
      <c r="F76" s="67"/>
    </row>
    <row r="77">
      <c r="A77" s="66"/>
      <c r="B77" s="66"/>
      <c r="C77" s="66"/>
      <c r="D77" s="66"/>
      <c r="E77" s="66"/>
      <c r="F77" s="67"/>
    </row>
    <row r="78">
      <c r="A78" s="66"/>
      <c r="B78" s="66"/>
      <c r="C78" s="66"/>
      <c r="D78" s="66"/>
      <c r="E78" s="66"/>
      <c r="F78" s="67"/>
    </row>
    <row r="79">
      <c r="A79" s="66"/>
      <c r="B79" s="66"/>
      <c r="C79" s="66"/>
      <c r="D79" s="66"/>
      <c r="E79" s="66"/>
      <c r="F79" s="67"/>
    </row>
    <row r="80">
      <c r="A80" s="66"/>
      <c r="B80" s="66"/>
      <c r="C80" s="66"/>
      <c r="D80" s="66"/>
      <c r="E80" s="66"/>
      <c r="F80" s="67"/>
    </row>
    <row r="81">
      <c r="A81" s="66"/>
      <c r="B81" s="66"/>
      <c r="C81" s="66"/>
      <c r="D81" s="66"/>
      <c r="E81" s="66"/>
      <c r="F81" s="67"/>
    </row>
    <row r="82">
      <c r="A82" s="66"/>
      <c r="B82" s="66"/>
      <c r="C82" s="66"/>
      <c r="D82" s="66"/>
      <c r="E82" s="66"/>
      <c r="F82" s="67"/>
    </row>
    <row r="83">
      <c r="A83" s="66"/>
      <c r="B83" s="66"/>
      <c r="C83" s="66"/>
      <c r="D83" s="66"/>
      <c r="E83" s="66"/>
      <c r="F83" s="67"/>
    </row>
    <row r="84">
      <c r="A84" s="66"/>
      <c r="B84" s="66"/>
      <c r="C84" s="66"/>
      <c r="D84" s="66"/>
      <c r="E84" s="66"/>
      <c r="F84" s="67"/>
    </row>
    <row r="85">
      <c r="A85" s="66"/>
      <c r="B85" s="66"/>
      <c r="C85" s="66"/>
      <c r="D85" s="66"/>
      <c r="E85" s="66"/>
      <c r="F85" s="67"/>
    </row>
    <row r="86">
      <c r="A86" s="66"/>
      <c r="B86" s="66"/>
      <c r="C86" s="66"/>
      <c r="D86" s="66"/>
      <c r="E86" s="66"/>
      <c r="F86" s="67"/>
    </row>
    <row r="87">
      <c r="A87" s="66"/>
      <c r="B87" s="66"/>
      <c r="C87" s="66"/>
      <c r="D87" s="66"/>
      <c r="E87" s="66"/>
      <c r="F87" s="67"/>
    </row>
    <row r="88">
      <c r="A88" s="66"/>
      <c r="B88" s="66"/>
      <c r="C88" s="66"/>
      <c r="D88" s="66"/>
      <c r="E88" s="66"/>
      <c r="F88" s="67"/>
    </row>
    <row r="89">
      <c r="A89" s="66"/>
      <c r="B89" s="66"/>
      <c r="C89" s="66"/>
      <c r="D89" s="66"/>
      <c r="E89" s="66"/>
      <c r="F89" s="67"/>
    </row>
    <row r="90">
      <c r="A90" s="66"/>
      <c r="B90" s="66"/>
      <c r="C90" s="66"/>
      <c r="D90" s="66"/>
      <c r="E90" s="66"/>
      <c r="F90" s="67"/>
    </row>
    <row r="91">
      <c r="A91" s="66"/>
      <c r="B91" s="66"/>
      <c r="C91" s="66"/>
      <c r="D91" s="66"/>
      <c r="E91" s="66"/>
      <c r="F91" s="67"/>
    </row>
    <row r="92">
      <c r="A92" s="66"/>
      <c r="B92" s="66"/>
      <c r="C92" s="66"/>
      <c r="D92" s="66"/>
      <c r="E92" s="66"/>
      <c r="F92" s="67"/>
    </row>
    <row r="93">
      <c r="A93" s="66"/>
      <c r="B93" s="66"/>
      <c r="C93" s="66"/>
      <c r="D93" s="66"/>
      <c r="E93" s="66"/>
      <c r="F93" s="67"/>
    </row>
    <row r="94">
      <c r="A94" s="66"/>
      <c r="B94" s="66"/>
      <c r="C94" s="66"/>
      <c r="D94" s="66"/>
      <c r="E94" s="66"/>
      <c r="F94" s="67"/>
    </row>
    <row r="95">
      <c r="A95" s="66"/>
      <c r="B95" s="66"/>
      <c r="C95" s="66"/>
      <c r="D95" s="66"/>
      <c r="E95" s="66"/>
      <c r="F95" s="67"/>
    </row>
    <row r="96">
      <c r="A96" s="66"/>
      <c r="B96" s="66"/>
      <c r="C96" s="66"/>
      <c r="D96" s="66"/>
      <c r="E96" s="66"/>
      <c r="F96" s="67"/>
    </row>
    <row r="97">
      <c r="A97" s="66"/>
      <c r="B97" s="66"/>
      <c r="C97" s="66"/>
      <c r="D97" s="66"/>
      <c r="E97" s="66"/>
      <c r="F97" s="67"/>
    </row>
    <row r="98">
      <c r="A98" s="66"/>
      <c r="B98" s="66"/>
      <c r="C98" s="66"/>
      <c r="D98" s="66"/>
      <c r="E98" s="66"/>
      <c r="F98" s="67"/>
    </row>
    <row r="99">
      <c r="A99" s="66"/>
      <c r="B99" s="66"/>
      <c r="C99" s="66"/>
      <c r="D99" s="66"/>
      <c r="E99" s="66"/>
      <c r="F99" s="67"/>
    </row>
    <row r="100">
      <c r="A100" s="66"/>
      <c r="B100" s="66"/>
      <c r="C100" s="66"/>
      <c r="D100" s="66"/>
      <c r="E100" s="66"/>
      <c r="F100" s="67"/>
    </row>
    <row r="101">
      <c r="A101" s="66"/>
      <c r="B101" s="66"/>
      <c r="C101" s="66"/>
      <c r="D101" s="66"/>
      <c r="E101" s="66"/>
      <c r="F101" s="67"/>
    </row>
    <row r="102">
      <c r="A102" s="66"/>
      <c r="B102" s="66"/>
      <c r="C102" s="66"/>
      <c r="D102" s="66"/>
      <c r="E102" s="66"/>
      <c r="F102" s="67"/>
    </row>
    <row r="103">
      <c r="A103" s="66"/>
      <c r="B103" s="66"/>
      <c r="C103" s="66"/>
      <c r="D103" s="66"/>
      <c r="E103" s="66"/>
      <c r="F103" s="67"/>
    </row>
    <row r="104">
      <c r="A104" s="66"/>
      <c r="B104" s="66"/>
      <c r="C104" s="66"/>
      <c r="D104" s="66"/>
      <c r="E104" s="66"/>
      <c r="F104" s="67"/>
    </row>
    <row r="105">
      <c r="A105" s="66"/>
      <c r="B105" s="66"/>
      <c r="C105" s="66"/>
      <c r="D105" s="66"/>
      <c r="E105" s="66"/>
      <c r="F105" s="67"/>
    </row>
    <row r="106">
      <c r="A106" s="66"/>
      <c r="B106" s="66"/>
      <c r="C106" s="66"/>
      <c r="D106" s="66"/>
      <c r="E106" s="66"/>
      <c r="F106" s="67"/>
    </row>
    <row r="107">
      <c r="A107" s="66"/>
      <c r="B107" s="66"/>
      <c r="C107" s="66"/>
      <c r="D107" s="66"/>
      <c r="E107" s="66"/>
      <c r="F107" s="67"/>
    </row>
    <row r="108">
      <c r="A108" s="66"/>
      <c r="B108" s="66"/>
      <c r="C108" s="66"/>
      <c r="D108" s="66"/>
      <c r="E108" s="66"/>
      <c r="F108" s="67"/>
    </row>
    <row r="109">
      <c r="A109" s="66"/>
      <c r="B109" s="66"/>
      <c r="C109" s="66"/>
      <c r="D109" s="66"/>
      <c r="E109" s="66"/>
      <c r="F109" s="67"/>
    </row>
    <row r="110">
      <c r="A110" s="66"/>
      <c r="B110" s="66"/>
      <c r="C110" s="66"/>
      <c r="D110" s="66"/>
      <c r="E110" s="66"/>
      <c r="F110" s="67"/>
    </row>
    <row r="111">
      <c r="A111" s="66"/>
      <c r="B111" s="66"/>
      <c r="C111" s="66"/>
      <c r="D111" s="66"/>
      <c r="E111" s="66"/>
      <c r="F111" s="67"/>
    </row>
    <row r="112">
      <c r="A112" s="66"/>
      <c r="B112" s="66"/>
      <c r="C112" s="66"/>
      <c r="D112" s="66"/>
      <c r="E112" s="66"/>
      <c r="F112" s="67"/>
    </row>
    <row r="113">
      <c r="A113" s="66"/>
      <c r="B113" s="66"/>
      <c r="C113" s="66"/>
      <c r="D113" s="66"/>
      <c r="E113" s="66"/>
      <c r="F113" s="67"/>
    </row>
    <row r="114">
      <c r="A114" s="66"/>
      <c r="B114" s="66"/>
      <c r="C114" s="66"/>
      <c r="D114" s="66"/>
      <c r="E114" s="66"/>
      <c r="F114" s="67"/>
    </row>
    <row r="115">
      <c r="A115" s="66"/>
      <c r="B115" s="66"/>
      <c r="C115" s="66"/>
      <c r="D115" s="66"/>
      <c r="E115" s="66"/>
      <c r="F115" s="67"/>
    </row>
    <row r="116">
      <c r="A116" s="66"/>
      <c r="B116" s="66"/>
      <c r="C116" s="66"/>
      <c r="D116" s="66"/>
      <c r="E116" s="66"/>
      <c r="F116" s="67"/>
    </row>
    <row r="117">
      <c r="A117" s="66"/>
      <c r="B117" s="66"/>
      <c r="C117" s="66"/>
      <c r="D117" s="66"/>
      <c r="E117" s="66"/>
      <c r="F117" s="67"/>
    </row>
    <row r="118">
      <c r="A118" s="66"/>
      <c r="B118" s="66"/>
      <c r="C118" s="66"/>
      <c r="D118" s="66"/>
      <c r="E118" s="66"/>
      <c r="F118" s="67"/>
    </row>
    <row r="119">
      <c r="A119" s="66"/>
      <c r="B119" s="66"/>
      <c r="C119" s="66"/>
      <c r="D119" s="66"/>
      <c r="E119" s="66"/>
      <c r="F119" s="67"/>
    </row>
    <row r="120">
      <c r="A120" s="66"/>
      <c r="B120" s="66"/>
      <c r="C120" s="66"/>
      <c r="D120" s="66"/>
      <c r="E120" s="66"/>
      <c r="F120" s="67"/>
    </row>
    <row r="121">
      <c r="A121" s="66"/>
      <c r="B121" s="66"/>
      <c r="C121" s="66"/>
      <c r="D121" s="66"/>
      <c r="E121" s="66"/>
      <c r="F121" s="67"/>
    </row>
    <row r="122">
      <c r="A122" s="66"/>
      <c r="B122" s="66"/>
      <c r="C122" s="66"/>
      <c r="D122" s="66"/>
      <c r="E122" s="66"/>
      <c r="F122" s="67"/>
    </row>
    <row r="123">
      <c r="A123" s="66"/>
      <c r="B123" s="66"/>
      <c r="C123" s="66"/>
      <c r="D123" s="66"/>
      <c r="E123" s="66"/>
      <c r="F123" s="67"/>
    </row>
    <row r="124">
      <c r="A124" s="66"/>
      <c r="B124" s="66"/>
      <c r="C124" s="66"/>
      <c r="D124" s="66"/>
      <c r="E124" s="66"/>
      <c r="F124" s="67"/>
    </row>
    <row r="125">
      <c r="A125" s="66"/>
      <c r="B125" s="66"/>
      <c r="C125" s="66"/>
      <c r="D125" s="66"/>
      <c r="E125" s="66"/>
      <c r="F125" s="67"/>
    </row>
    <row r="126">
      <c r="A126" s="66"/>
      <c r="B126" s="66"/>
      <c r="C126" s="66"/>
      <c r="D126" s="66"/>
      <c r="E126" s="66"/>
      <c r="F126" s="67"/>
    </row>
    <row r="127">
      <c r="A127" s="66"/>
      <c r="B127" s="66"/>
      <c r="C127" s="66"/>
      <c r="D127" s="66"/>
      <c r="E127" s="66"/>
      <c r="F127" s="67"/>
    </row>
    <row r="128">
      <c r="A128" s="66"/>
      <c r="B128" s="66"/>
      <c r="C128" s="66"/>
      <c r="D128" s="66"/>
      <c r="E128" s="66"/>
      <c r="F128" s="67"/>
    </row>
    <row r="129">
      <c r="A129" s="66"/>
      <c r="B129" s="66"/>
      <c r="C129" s="66"/>
      <c r="D129" s="66"/>
      <c r="E129" s="66"/>
      <c r="F129" s="67"/>
    </row>
    <row r="130">
      <c r="A130" s="66"/>
      <c r="B130" s="66"/>
      <c r="C130" s="66"/>
      <c r="D130" s="66"/>
      <c r="E130" s="66"/>
      <c r="F130" s="67"/>
    </row>
    <row r="131">
      <c r="A131" s="66"/>
      <c r="B131" s="66"/>
      <c r="C131" s="66"/>
      <c r="D131" s="66"/>
      <c r="E131" s="66"/>
      <c r="F131" s="67"/>
    </row>
    <row r="132">
      <c r="A132" s="66"/>
      <c r="B132" s="66"/>
      <c r="C132" s="66"/>
      <c r="D132" s="66"/>
      <c r="E132" s="66"/>
      <c r="F132" s="67"/>
    </row>
    <row r="133">
      <c r="A133" s="66"/>
      <c r="B133" s="66"/>
      <c r="C133" s="66"/>
      <c r="D133" s="66"/>
      <c r="E133" s="66"/>
      <c r="F133" s="67"/>
    </row>
    <row r="134">
      <c r="A134" s="66"/>
      <c r="B134" s="66"/>
      <c r="C134" s="66"/>
      <c r="D134" s="66"/>
      <c r="E134" s="66"/>
      <c r="F134" s="67"/>
    </row>
    <row r="135">
      <c r="A135" s="66"/>
      <c r="B135" s="66"/>
      <c r="C135" s="66"/>
      <c r="D135" s="66"/>
      <c r="E135" s="66"/>
      <c r="F135" s="67"/>
    </row>
    <row r="136">
      <c r="A136" s="66"/>
      <c r="B136" s="66"/>
      <c r="C136" s="66"/>
      <c r="D136" s="66"/>
      <c r="E136" s="66"/>
      <c r="F136" s="67"/>
    </row>
    <row r="137">
      <c r="A137" s="66"/>
      <c r="B137" s="66"/>
      <c r="C137" s="66"/>
      <c r="D137" s="66"/>
      <c r="E137" s="66"/>
      <c r="F137" s="67"/>
    </row>
    <row r="138">
      <c r="A138" s="66"/>
      <c r="B138" s="66"/>
      <c r="C138" s="66"/>
      <c r="D138" s="66"/>
      <c r="E138" s="66"/>
      <c r="F138" s="67"/>
    </row>
    <row r="139">
      <c r="A139" s="66"/>
      <c r="B139" s="66"/>
      <c r="C139" s="66"/>
      <c r="D139" s="66"/>
      <c r="E139" s="66"/>
      <c r="F139" s="67"/>
    </row>
    <row r="140">
      <c r="A140" s="66"/>
      <c r="B140" s="66"/>
      <c r="C140" s="66"/>
      <c r="D140" s="66"/>
      <c r="E140" s="66"/>
      <c r="F140" s="67"/>
    </row>
    <row r="141">
      <c r="A141" s="66"/>
      <c r="B141" s="66"/>
      <c r="C141" s="66"/>
      <c r="D141" s="66"/>
      <c r="E141" s="66"/>
      <c r="F141" s="67"/>
    </row>
    <row r="142">
      <c r="A142" s="66"/>
      <c r="B142" s="66"/>
      <c r="C142" s="66"/>
      <c r="D142" s="66"/>
      <c r="E142" s="66"/>
      <c r="F142" s="67"/>
    </row>
    <row r="143">
      <c r="A143" s="66"/>
      <c r="B143" s="66"/>
      <c r="C143" s="66"/>
      <c r="D143" s="66"/>
      <c r="E143" s="66"/>
      <c r="F143" s="67"/>
    </row>
    <row r="144">
      <c r="A144" s="66"/>
      <c r="B144" s="66"/>
      <c r="C144" s="66"/>
      <c r="D144" s="66"/>
      <c r="E144" s="66"/>
      <c r="F144" s="67"/>
    </row>
    <row r="145">
      <c r="A145" s="66"/>
      <c r="B145" s="66"/>
      <c r="C145" s="66"/>
      <c r="D145" s="66"/>
      <c r="E145" s="66"/>
      <c r="F145" s="67"/>
    </row>
    <row r="146">
      <c r="A146" s="66"/>
      <c r="B146" s="66"/>
      <c r="C146" s="66"/>
      <c r="D146" s="66"/>
      <c r="E146" s="66"/>
      <c r="F146" s="67"/>
    </row>
    <row r="147">
      <c r="A147" s="66"/>
      <c r="B147" s="66"/>
      <c r="C147" s="66"/>
      <c r="D147" s="66"/>
      <c r="E147" s="66"/>
      <c r="F147" s="67"/>
    </row>
    <row r="148">
      <c r="A148" s="66"/>
      <c r="B148" s="66"/>
      <c r="C148" s="66"/>
      <c r="D148" s="66"/>
      <c r="E148" s="66"/>
      <c r="F148" s="67"/>
    </row>
    <row r="149">
      <c r="A149" s="66"/>
      <c r="B149" s="66"/>
      <c r="C149" s="66"/>
      <c r="D149" s="66"/>
      <c r="E149" s="66"/>
      <c r="F149" s="67"/>
    </row>
    <row r="150">
      <c r="A150" s="66"/>
      <c r="B150" s="66"/>
      <c r="C150" s="66"/>
      <c r="D150" s="66"/>
      <c r="E150" s="66"/>
      <c r="F150" s="67"/>
    </row>
    <row r="151">
      <c r="A151" s="66"/>
      <c r="B151" s="66"/>
      <c r="C151" s="66"/>
      <c r="D151" s="66"/>
      <c r="E151" s="66"/>
      <c r="F151" s="67"/>
    </row>
    <row r="152">
      <c r="A152" s="66"/>
      <c r="B152" s="66"/>
      <c r="C152" s="66"/>
      <c r="D152" s="66"/>
      <c r="E152" s="66"/>
      <c r="F152" s="67"/>
    </row>
    <row r="153">
      <c r="A153" s="66"/>
      <c r="B153" s="66"/>
      <c r="C153" s="66"/>
      <c r="D153" s="66"/>
      <c r="E153" s="66"/>
      <c r="F153" s="67"/>
    </row>
    <row r="154">
      <c r="A154" s="66"/>
      <c r="B154" s="66"/>
      <c r="C154" s="66"/>
      <c r="D154" s="66"/>
      <c r="E154" s="66"/>
      <c r="F154" s="67"/>
    </row>
    <row r="155">
      <c r="A155" s="66"/>
      <c r="B155" s="66"/>
      <c r="C155" s="66"/>
      <c r="D155" s="66"/>
      <c r="E155" s="66"/>
      <c r="F155" s="67"/>
    </row>
    <row r="156">
      <c r="A156" s="66"/>
      <c r="B156" s="66"/>
      <c r="C156" s="66"/>
      <c r="D156" s="66"/>
      <c r="E156" s="66"/>
      <c r="F156" s="67"/>
    </row>
    <row r="157">
      <c r="A157" s="66"/>
      <c r="B157" s="66"/>
      <c r="C157" s="66"/>
      <c r="D157" s="66"/>
      <c r="E157" s="66"/>
      <c r="F157" s="67"/>
    </row>
    <row r="158">
      <c r="A158" s="66"/>
      <c r="B158" s="66"/>
      <c r="C158" s="66"/>
      <c r="D158" s="66"/>
      <c r="E158" s="66"/>
      <c r="F158" s="67"/>
    </row>
    <row r="159">
      <c r="A159" s="66"/>
      <c r="B159" s="66"/>
      <c r="C159" s="66"/>
      <c r="D159" s="66"/>
      <c r="E159" s="66"/>
      <c r="F159" s="67"/>
    </row>
    <row r="160">
      <c r="A160" s="66"/>
      <c r="B160" s="66"/>
      <c r="C160" s="66"/>
      <c r="D160" s="66"/>
      <c r="E160" s="66"/>
      <c r="F160" s="67"/>
    </row>
    <row r="161">
      <c r="A161" s="66"/>
      <c r="B161" s="66"/>
      <c r="C161" s="66"/>
      <c r="D161" s="66"/>
      <c r="E161" s="66"/>
      <c r="F161" s="67"/>
    </row>
    <row r="162">
      <c r="A162" s="66"/>
      <c r="B162" s="66"/>
      <c r="C162" s="66"/>
      <c r="D162" s="66"/>
      <c r="E162" s="66"/>
      <c r="F162" s="67"/>
    </row>
    <row r="163">
      <c r="A163" s="66"/>
      <c r="B163" s="66"/>
      <c r="C163" s="66"/>
      <c r="D163" s="66"/>
      <c r="E163" s="66"/>
      <c r="F163" s="67"/>
    </row>
    <row r="164">
      <c r="A164" s="66"/>
      <c r="B164" s="66"/>
      <c r="C164" s="66"/>
      <c r="D164" s="66"/>
      <c r="E164" s="66"/>
      <c r="F164" s="67"/>
    </row>
    <row r="165">
      <c r="A165" s="66"/>
      <c r="B165" s="66"/>
      <c r="C165" s="66"/>
      <c r="D165" s="66"/>
      <c r="E165" s="66"/>
      <c r="F165" s="67"/>
    </row>
    <row r="166">
      <c r="A166" s="66"/>
      <c r="B166" s="66"/>
      <c r="C166" s="66"/>
      <c r="D166" s="66"/>
      <c r="E166" s="66"/>
      <c r="F166" s="67"/>
    </row>
    <row r="167">
      <c r="A167" s="66"/>
      <c r="B167" s="66"/>
      <c r="C167" s="66"/>
      <c r="D167" s="66"/>
      <c r="E167" s="66"/>
      <c r="F167" s="67"/>
    </row>
    <row r="168">
      <c r="A168" s="66"/>
      <c r="B168" s="66"/>
      <c r="C168" s="66"/>
      <c r="D168" s="66"/>
      <c r="E168" s="66"/>
      <c r="F168" s="67"/>
    </row>
    <row r="169">
      <c r="A169" s="66"/>
      <c r="B169" s="66"/>
      <c r="C169" s="66"/>
      <c r="D169" s="66"/>
      <c r="E169" s="66"/>
      <c r="F169" s="67"/>
    </row>
    <row r="170">
      <c r="A170" s="66"/>
      <c r="B170" s="66"/>
      <c r="C170" s="66"/>
      <c r="D170" s="66"/>
      <c r="E170" s="66"/>
      <c r="F170" s="67"/>
    </row>
    <row r="171">
      <c r="A171" s="66"/>
      <c r="B171" s="66"/>
      <c r="C171" s="66"/>
      <c r="D171" s="66"/>
      <c r="E171" s="66"/>
      <c r="F171" s="67"/>
    </row>
    <row r="172">
      <c r="A172" s="66"/>
      <c r="B172" s="66"/>
      <c r="C172" s="66"/>
      <c r="D172" s="66"/>
      <c r="E172" s="66"/>
      <c r="F172" s="67"/>
    </row>
    <row r="173">
      <c r="A173" s="66"/>
      <c r="B173" s="66"/>
      <c r="C173" s="66"/>
      <c r="D173" s="66"/>
      <c r="E173" s="66"/>
      <c r="F173" s="67"/>
    </row>
    <row r="174">
      <c r="A174" s="66"/>
      <c r="B174" s="66"/>
      <c r="C174" s="66"/>
      <c r="D174" s="66"/>
      <c r="E174" s="66"/>
      <c r="F174" s="67"/>
    </row>
    <row r="175">
      <c r="A175" s="66"/>
      <c r="B175" s="66"/>
      <c r="C175" s="66"/>
      <c r="D175" s="66"/>
      <c r="E175" s="66"/>
      <c r="F175" s="67"/>
    </row>
    <row r="176">
      <c r="A176" s="66"/>
      <c r="B176" s="66"/>
      <c r="C176" s="66"/>
      <c r="D176" s="66"/>
      <c r="E176" s="66"/>
      <c r="F176" s="67"/>
    </row>
    <row r="177">
      <c r="A177" s="66"/>
      <c r="B177" s="66"/>
      <c r="C177" s="66"/>
      <c r="D177" s="66"/>
      <c r="E177" s="66"/>
      <c r="F177" s="67"/>
    </row>
    <row r="178">
      <c r="A178" s="66"/>
      <c r="B178" s="66"/>
      <c r="C178" s="66"/>
      <c r="D178" s="66"/>
      <c r="E178" s="66"/>
      <c r="F178" s="67"/>
    </row>
    <row r="179">
      <c r="A179" s="66"/>
      <c r="B179" s="66"/>
      <c r="C179" s="66"/>
      <c r="D179" s="66"/>
      <c r="E179" s="66"/>
      <c r="F179" s="67"/>
    </row>
    <row r="180">
      <c r="A180" s="66"/>
      <c r="B180" s="66"/>
      <c r="C180" s="66"/>
      <c r="D180" s="66"/>
      <c r="E180" s="66"/>
      <c r="F180" s="67"/>
    </row>
    <row r="181">
      <c r="A181" s="66"/>
      <c r="B181" s="66"/>
      <c r="C181" s="66"/>
      <c r="D181" s="66"/>
      <c r="E181" s="66"/>
      <c r="F181" s="67"/>
    </row>
    <row r="182">
      <c r="A182" s="66"/>
      <c r="B182" s="66"/>
      <c r="C182" s="66"/>
      <c r="D182" s="66"/>
      <c r="E182" s="66"/>
      <c r="F182" s="67"/>
    </row>
    <row r="183">
      <c r="A183" s="66"/>
      <c r="B183" s="66"/>
      <c r="C183" s="66"/>
      <c r="D183" s="66"/>
      <c r="E183" s="66"/>
      <c r="F183" s="67"/>
    </row>
    <row r="184">
      <c r="A184" s="66"/>
      <c r="B184" s="66"/>
      <c r="C184" s="66"/>
      <c r="D184" s="66"/>
      <c r="E184" s="66"/>
      <c r="F184" s="67"/>
    </row>
    <row r="185">
      <c r="A185" s="66"/>
      <c r="B185" s="66"/>
      <c r="C185" s="66"/>
      <c r="D185" s="66"/>
      <c r="E185" s="66"/>
      <c r="F185" s="67"/>
    </row>
    <row r="186">
      <c r="A186" s="66"/>
      <c r="B186" s="66"/>
      <c r="C186" s="66"/>
      <c r="D186" s="66"/>
      <c r="E186" s="66"/>
      <c r="F186" s="67"/>
    </row>
    <row r="187">
      <c r="A187" s="66"/>
      <c r="B187" s="66"/>
      <c r="C187" s="66"/>
      <c r="D187" s="66"/>
      <c r="E187" s="66"/>
      <c r="F187" s="67"/>
    </row>
    <row r="188">
      <c r="A188" s="66"/>
      <c r="B188" s="66"/>
      <c r="C188" s="66"/>
      <c r="D188" s="66"/>
      <c r="E188" s="66"/>
      <c r="F188" s="67"/>
    </row>
    <row r="189">
      <c r="A189" s="66"/>
      <c r="B189" s="66"/>
      <c r="C189" s="66"/>
      <c r="D189" s="66"/>
      <c r="E189" s="66"/>
      <c r="F189" s="67"/>
    </row>
    <row r="190">
      <c r="A190" s="66"/>
      <c r="B190" s="66"/>
      <c r="C190" s="66"/>
      <c r="D190" s="66"/>
      <c r="E190" s="66"/>
      <c r="F190" s="67"/>
    </row>
    <row r="191">
      <c r="A191" s="66"/>
      <c r="B191" s="66"/>
      <c r="C191" s="66"/>
      <c r="D191" s="66"/>
      <c r="E191" s="66"/>
      <c r="F191" s="67"/>
    </row>
    <row r="192">
      <c r="A192" s="66"/>
      <c r="B192" s="66"/>
      <c r="C192" s="66"/>
      <c r="D192" s="66"/>
      <c r="E192" s="66"/>
      <c r="F192" s="67"/>
    </row>
    <row r="193">
      <c r="A193" s="66"/>
      <c r="B193" s="66"/>
      <c r="C193" s="66"/>
      <c r="D193" s="66"/>
      <c r="E193" s="66"/>
      <c r="F193" s="67"/>
    </row>
    <row r="194">
      <c r="A194" s="66"/>
      <c r="B194" s="66"/>
      <c r="C194" s="66"/>
      <c r="D194" s="66"/>
      <c r="E194" s="66"/>
      <c r="F194" s="67"/>
    </row>
    <row r="195">
      <c r="A195" s="66"/>
      <c r="B195" s="66"/>
      <c r="C195" s="66"/>
      <c r="D195" s="66"/>
      <c r="E195" s="66"/>
      <c r="F195" s="67"/>
    </row>
    <row r="196">
      <c r="A196" s="66"/>
      <c r="B196" s="66"/>
      <c r="C196" s="66"/>
      <c r="D196" s="66"/>
      <c r="E196" s="66"/>
      <c r="F196" s="67"/>
    </row>
    <row r="197">
      <c r="A197" s="66"/>
      <c r="B197" s="66"/>
      <c r="C197" s="66"/>
      <c r="D197" s="66"/>
      <c r="E197" s="66"/>
      <c r="F197" s="67"/>
    </row>
    <row r="198">
      <c r="A198" s="66"/>
      <c r="B198" s="66"/>
      <c r="C198" s="66"/>
      <c r="D198" s="66"/>
      <c r="E198" s="66"/>
      <c r="F198" s="67"/>
    </row>
    <row r="199">
      <c r="A199" s="66"/>
      <c r="B199" s="66"/>
      <c r="C199" s="66"/>
      <c r="D199" s="66"/>
      <c r="E199" s="66"/>
      <c r="F199" s="67"/>
    </row>
    <row r="200">
      <c r="A200" s="66"/>
      <c r="B200" s="66"/>
      <c r="C200" s="66"/>
      <c r="D200" s="66"/>
      <c r="E200" s="66"/>
      <c r="F200" s="67"/>
    </row>
    <row r="201">
      <c r="A201" s="66"/>
      <c r="B201" s="66"/>
      <c r="C201" s="66"/>
      <c r="D201" s="66"/>
      <c r="E201" s="66"/>
      <c r="F201" s="67"/>
    </row>
    <row r="202">
      <c r="A202" s="66"/>
      <c r="B202" s="66"/>
      <c r="C202" s="66"/>
      <c r="D202" s="66"/>
      <c r="E202" s="66"/>
      <c r="F202" s="67"/>
    </row>
    <row r="203">
      <c r="A203" s="66"/>
      <c r="B203" s="66"/>
      <c r="C203" s="66"/>
      <c r="D203" s="66"/>
      <c r="E203" s="66"/>
      <c r="F203" s="67"/>
    </row>
    <row r="204">
      <c r="A204" s="66"/>
      <c r="B204" s="66"/>
      <c r="C204" s="66"/>
      <c r="D204" s="66"/>
      <c r="E204" s="66"/>
      <c r="F204" s="67"/>
    </row>
    <row r="205">
      <c r="A205" s="66"/>
      <c r="B205" s="66"/>
      <c r="C205" s="66"/>
      <c r="D205" s="66"/>
      <c r="E205" s="66"/>
      <c r="F205" s="67"/>
    </row>
    <row r="206">
      <c r="A206" s="66"/>
      <c r="B206" s="66"/>
      <c r="C206" s="66"/>
      <c r="D206" s="66"/>
      <c r="E206" s="66"/>
      <c r="F206" s="67"/>
    </row>
    <row r="207">
      <c r="A207" s="66"/>
      <c r="B207" s="66"/>
      <c r="C207" s="66"/>
      <c r="D207" s="66"/>
      <c r="E207" s="66"/>
      <c r="F207" s="67"/>
    </row>
    <row r="208">
      <c r="A208" s="66"/>
      <c r="B208" s="66"/>
      <c r="C208" s="66"/>
      <c r="D208" s="66"/>
      <c r="E208" s="66"/>
      <c r="F208" s="67"/>
    </row>
    <row r="209">
      <c r="A209" s="66"/>
      <c r="B209" s="66"/>
      <c r="C209" s="66"/>
      <c r="D209" s="66"/>
      <c r="E209" s="66"/>
      <c r="F209" s="67"/>
    </row>
    <row r="210">
      <c r="A210" s="66"/>
      <c r="B210" s="66"/>
      <c r="C210" s="66"/>
      <c r="D210" s="66"/>
      <c r="E210" s="66"/>
      <c r="F210" s="67"/>
    </row>
    <row r="211">
      <c r="A211" s="66"/>
      <c r="B211" s="66"/>
      <c r="C211" s="66"/>
      <c r="D211" s="66"/>
      <c r="E211" s="66"/>
      <c r="F211" s="67"/>
    </row>
    <row r="212">
      <c r="A212" s="66"/>
      <c r="B212" s="66"/>
      <c r="C212" s="66"/>
      <c r="D212" s="66"/>
      <c r="E212" s="66"/>
      <c r="F212" s="67"/>
    </row>
    <row r="213">
      <c r="A213" s="66"/>
      <c r="B213" s="66"/>
      <c r="C213" s="66"/>
      <c r="D213" s="66"/>
      <c r="E213" s="66"/>
      <c r="F213" s="67"/>
    </row>
    <row r="214">
      <c r="A214" s="66"/>
      <c r="B214" s="66"/>
      <c r="C214" s="66"/>
      <c r="D214" s="66"/>
      <c r="E214" s="66"/>
      <c r="F214" s="67"/>
    </row>
    <row r="215">
      <c r="A215" s="66"/>
      <c r="B215" s="66"/>
      <c r="C215" s="66"/>
      <c r="D215" s="66"/>
      <c r="E215" s="66"/>
      <c r="F215" s="67"/>
    </row>
    <row r="216">
      <c r="A216" s="66"/>
      <c r="B216" s="66"/>
      <c r="C216" s="66"/>
      <c r="D216" s="66"/>
      <c r="E216" s="66"/>
      <c r="F216" s="67"/>
    </row>
    <row r="217">
      <c r="A217" s="66"/>
      <c r="B217" s="66"/>
      <c r="C217" s="66"/>
      <c r="D217" s="66"/>
      <c r="E217" s="66"/>
      <c r="F217" s="67"/>
    </row>
    <row r="218">
      <c r="A218" s="66"/>
      <c r="B218" s="66"/>
      <c r="C218" s="66"/>
      <c r="D218" s="66"/>
      <c r="E218" s="66"/>
      <c r="F218" s="67"/>
    </row>
    <row r="219">
      <c r="A219" s="66"/>
      <c r="B219" s="66"/>
      <c r="C219" s="66"/>
      <c r="D219" s="66"/>
      <c r="E219" s="66"/>
      <c r="F219" s="67"/>
    </row>
    <row r="220">
      <c r="A220" s="66"/>
      <c r="B220" s="66"/>
      <c r="C220" s="66"/>
      <c r="D220" s="66"/>
      <c r="E220" s="66"/>
      <c r="F220" s="67"/>
    </row>
    <row r="221">
      <c r="A221" s="66"/>
      <c r="B221" s="66"/>
      <c r="C221" s="66"/>
      <c r="D221" s="66"/>
      <c r="E221" s="66"/>
      <c r="F221" s="67"/>
    </row>
    <row r="222">
      <c r="A222" s="66"/>
      <c r="B222" s="66"/>
      <c r="C222" s="66"/>
      <c r="D222" s="66"/>
      <c r="E222" s="66"/>
      <c r="F222" s="67"/>
    </row>
    <row r="223">
      <c r="A223" s="66"/>
      <c r="B223" s="66"/>
      <c r="C223" s="66"/>
      <c r="D223" s="66"/>
      <c r="E223" s="66"/>
      <c r="F223" s="67"/>
    </row>
    <row r="224">
      <c r="A224" s="66"/>
      <c r="B224" s="66"/>
      <c r="C224" s="66"/>
      <c r="D224" s="66"/>
      <c r="E224" s="66"/>
      <c r="F224" s="67"/>
    </row>
    <row r="225">
      <c r="A225" s="66"/>
      <c r="B225" s="66"/>
      <c r="C225" s="66"/>
      <c r="D225" s="66"/>
      <c r="E225" s="66"/>
      <c r="F225" s="67"/>
    </row>
    <row r="226">
      <c r="A226" s="66"/>
      <c r="B226" s="66"/>
      <c r="C226" s="66"/>
      <c r="D226" s="66"/>
      <c r="E226" s="66"/>
      <c r="F226" s="67"/>
    </row>
    <row r="227">
      <c r="A227" s="66"/>
      <c r="B227" s="66"/>
      <c r="C227" s="66"/>
      <c r="D227" s="66"/>
      <c r="E227" s="66"/>
      <c r="F227" s="67"/>
    </row>
    <row r="228">
      <c r="A228" s="66"/>
      <c r="B228" s="66"/>
      <c r="C228" s="66"/>
      <c r="D228" s="66"/>
      <c r="E228" s="66"/>
      <c r="F228" s="67"/>
    </row>
    <row r="229">
      <c r="A229" s="66"/>
      <c r="B229" s="66"/>
      <c r="C229" s="66"/>
      <c r="D229" s="66"/>
      <c r="E229" s="66"/>
      <c r="F229" s="67"/>
    </row>
    <row r="230">
      <c r="A230" s="66"/>
      <c r="B230" s="66"/>
      <c r="C230" s="66"/>
      <c r="D230" s="66"/>
      <c r="E230" s="66"/>
      <c r="F230" s="67"/>
    </row>
    <row r="231">
      <c r="A231" s="66"/>
      <c r="B231" s="66"/>
      <c r="C231" s="66"/>
      <c r="D231" s="66"/>
      <c r="E231" s="66"/>
      <c r="F231" s="67"/>
    </row>
    <row r="232">
      <c r="A232" s="66"/>
      <c r="B232" s="66"/>
      <c r="C232" s="66"/>
      <c r="D232" s="66"/>
      <c r="E232" s="66"/>
      <c r="F232" s="67"/>
    </row>
    <row r="233">
      <c r="A233" s="66"/>
      <c r="B233" s="66"/>
      <c r="C233" s="66"/>
      <c r="D233" s="66"/>
      <c r="E233" s="66"/>
      <c r="F233" s="67"/>
    </row>
    <row r="234">
      <c r="A234" s="66"/>
      <c r="B234" s="66"/>
      <c r="C234" s="66"/>
      <c r="D234" s="66"/>
      <c r="E234" s="66"/>
      <c r="F234" s="67"/>
    </row>
    <row r="235">
      <c r="A235" s="66"/>
      <c r="B235" s="66"/>
      <c r="C235" s="66"/>
      <c r="D235" s="66"/>
      <c r="E235" s="66"/>
      <c r="F235" s="67"/>
    </row>
    <row r="236">
      <c r="A236" s="66"/>
      <c r="B236" s="66"/>
      <c r="C236" s="66"/>
      <c r="D236" s="66"/>
      <c r="E236" s="66"/>
      <c r="F236" s="67"/>
    </row>
    <row r="237">
      <c r="A237" s="66"/>
      <c r="B237" s="66"/>
      <c r="C237" s="66"/>
      <c r="D237" s="66"/>
      <c r="E237" s="66"/>
      <c r="F237" s="67"/>
    </row>
    <row r="238">
      <c r="A238" s="66"/>
      <c r="B238" s="66"/>
      <c r="C238" s="66"/>
      <c r="D238" s="66"/>
      <c r="E238" s="66"/>
      <c r="F238" s="67"/>
    </row>
    <row r="239">
      <c r="A239" s="66"/>
      <c r="B239" s="66"/>
      <c r="C239" s="66"/>
      <c r="D239" s="66"/>
      <c r="E239" s="66"/>
      <c r="F239" s="67"/>
    </row>
    <row r="240">
      <c r="A240" s="66"/>
      <c r="B240" s="66"/>
      <c r="C240" s="66"/>
      <c r="D240" s="66"/>
      <c r="E240" s="66"/>
      <c r="F240" s="67"/>
    </row>
    <row r="241">
      <c r="A241" s="66"/>
      <c r="B241" s="66"/>
      <c r="C241" s="66"/>
      <c r="D241" s="66"/>
      <c r="E241" s="66"/>
      <c r="F241" s="67"/>
    </row>
    <row r="242">
      <c r="A242" s="66"/>
      <c r="B242" s="66"/>
      <c r="C242" s="66"/>
      <c r="D242" s="66"/>
      <c r="E242" s="66"/>
      <c r="F242" s="67"/>
    </row>
    <row r="243">
      <c r="A243" s="66"/>
      <c r="B243" s="66"/>
      <c r="C243" s="66"/>
      <c r="D243" s="66"/>
      <c r="E243" s="66"/>
      <c r="F243" s="67"/>
    </row>
    <row r="244">
      <c r="A244" s="66"/>
      <c r="B244" s="66"/>
      <c r="C244" s="66"/>
      <c r="D244" s="66"/>
      <c r="E244" s="66"/>
      <c r="F244" s="67"/>
    </row>
    <row r="245">
      <c r="A245" s="66"/>
      <c r="B245" s="66"/>
      <c r="C245" s="66"/>
      <c r="D245" s="66"/>
      <c r="E245" s="66"/>
      <c r="F245" s="67"/>
    </row>
    <row r="246">
      <c r="A246" s="66"/>
      <c r="B246" s="66"/>
      <c r="C246" s="66"/>
      <c r="D246" s="66"/>
      <c r="E246" s="66"/>
      <c r="F246" s="67"/>
    </row>
    <row r="247">
      <c r="A247" s="66"/>
      <c r="B247" s="66"/>
      <c r="C247" s="66"/>
      <c r="D247" s="66"/>
      <c r="E247" s="66"/>
      <c r="F247" s="67"/>
    </row>
    <row r="248">
      <c r="A248" s="66"/>
      <c r="B248" s="66"/>
      <c r="C248" s="66"/>
      <c r="D248" s="66"/>
      <c r="E248" s="66"/>
      <c r="F248" s="67"/>
    </row>
    <row r="249">
      <c r="A249" s="66"/>
      <c r="B249" s="66"/>
      <c r="C249" s="66"/>
      <c r="D249" s="66"/>
      <c r="E249" s="66"/>
      <c r="F249" s="67"/>
    </row>
    <row r="250">
      <c r="A250" s="66"/>
      <c r="B250" s="66"/>
      <c r="C250" s="66"/>
      <c r="D250" s="66"/>
      <c r="E250" s="66"/>
      <c r="F250" s="67"/>
    </row>
    <row r="251">
      <c r="A251" s="66"/>
      <c r="B251" s="66"/>
      <c r="C251" s="66"/>
      <c r="D251" s="66"/>
      <c r="E251" s="66"/>
      <c r="F251" s="67"/>
    </row>
    <row r="252">
      <c r="A252" s="66"/>
      <c r="B252" s="66"/>
      <c r="C252" s="66"/>
      <c r="D252" s="66"/>
      <c r="E252" s="66"/>
      <c r="F252" s="67"/>
    </row>
    <row r="253">
      <c r="A253" s="66"/>
      <c r="B253" s="66"/>
      <c r="C253" s="66"/>
      <c r="D253" s="66"/>
      <c r="E253" s="66"/>
      <c r="F253" s="67"/>
    </row>
    <row r="254">
      <c r="A254" s="66"/>
      <c r="B254" s="66"/>
      <c r="C254" s="66"/>
      <c r="D254" s="66"/>
      <c r="E254" s="66"/>
      <c r="F254" s="67"/>
    </row>
    <row r="255">
      <c r="A255" s="66"/>
      <c r="B255" s="66"/>
      <c r="C255" s="66"/>
      <c r="D255" s="66"/>
      <c r="E255" s="66"/>
      <c r="F255" s="67"/>
    </row>
    <row r="256">
      <c r="A256" s="66"/>
      <c r="B256" s="66"/>
      <c r="C256" s="66"/>
      <c r="D256" s="66"/>
      <c r="E256" s="66"/>
      <c r="F256" s="67"/>
    </row>
    <row r="257">
      <c r="A257" s="66"/>
      <c r="B257" s="66"/>
      <c r="C257" s="66"/>
      <c r="D257" s="66"/>
      <c r="E257" s="66"/>
      <c r="F257" s="67"/>
    </row>
    <row r="258">
      <c r="A258" s="66"/>
      <c r="B258" s="66"/>
      <c r="C258" s="66"/>
      <c r="D258" s="66"/>
      <c r="E258" s="66"/>
      <c r="F258" s="67"/>
    </row>
    <row r="259">
      <c r="A259" s="66"/>
      <c r="B259" s="66"/>
      <c r="C259" s="66"/>
      <c r="D259" s="66"/>
      <c r="E259" s="66"/>
      <c r="F259" s="67"/>
    </row>
    <row r="260">
      <c r="A260" s="66"/>
      <c r="B260" s="66"/>
      <c r="C260" s="66"/>
      <c r="D260" s="66"/>
      <c r="E260" s="66"/>
      <c r="F260" s="67"/>
    </row>
    <row r="261">
      <c r="A261" s="66"/>
      <c r="B261" s="66"/>
      <c r="C261" s="66"/>
      <c r="D261" s="66"/>
      <c r="E261" s="66"/>
      <c r="F261" s="67"/>
    </row>
    <row r="262">
      <c r="A262" s="66"/>
      <c r="B262" s="66"/>
      <c r="C262" s="66"/>
      <c r="D262" s="66"/>
      <c r="E262" s="66"/>
      <c r="F262" s="67"/>
    </row>
    <row r="263">
      <c r="A263" s="66"/>
      <c r="B263" s="66"/>
      <c r="C263" s="66"/>
      <c r="D263" s="66"/>
      <c r="E263" s="66"/>
      <c r="F263" s="67"/>
    </row>
    <row r="264">
      <c r="A264" s="66"/>
      <c r="B264" s="66"/>
      <c r="C264" s="66"/>
      <c r="D264" s="66"/>
      <c r="E264" s="66"/>
      <c r="F264" s="67"/>
    </row>
    <row r="265">
      <c r="A265" s="66"/>
      <c r="B265" s="66"/>
      <c r="C265" s="66"/>
      <c r="D265" s="66"/>
      <c r="E265" s="66"/>
      <c r="F265" s="67"/>
    </row>
    <row r="266">
      <c r="A266" s="66"/>
      <c r="B266" s="66"/>
      <c r="C266" s="66"/>
      <c r="D266" s="66"/>
      <c r="E266" s="66"/>
      <c r="F266" s="67"/>
    </row>
    <row r="267">
      <c r="A267" s="66"/>
      <c r="B267" s="66"/>
      <c r="C267" s="66"/>
      <c r="D267" s="66"/>
      <c r="E267" s="66"/>
      <c r="F267" s="67"/>
    </row>
    <row r="268">
      <c r="A268" s="66"/>
      <c r="B268" s="66"/>
      <c r="C268" s="66"/>
      <c r="D268" s="66"/>
      <c r="E268" s="66"/>
      <c r="F268" s="67"/>
    </row>
    <row r="269">
      <c r="A269" s="66"/>
      <c r="B269" s="66"/>
      <c r="C269" s="66"/>
      <c r="D269" s="66"/>
      <c r="E269" s="66"/>
      <c r="F269" s="67"/>
    </row>
    <row r="270">
      <c r="A270" s="66"/>
      <c r="B270" s="66"/>
      <c r="C270" s="66"/>
      <c r="D270" s="66"/>
      <c r="E270" s="66"/>
      <c r="F270" s="67"/>
    </row>
    <row r="271">
      <c r="A271" s="66"/>
      <c r="B271" s="66"/>
      <c r="C271" s="66"/>
      <c r="D271" s="66"/>
      <c r="E271" s="66"/>
      <c r="F271" s="67"/>
    </row>
    <row r="272">
      <c r="A272" s="66"/>
      <c r="B272" s="66"/>
      <c r="C272" s="66"/>
      <c r="D272" s="66"/>
      <c r="E272" s="66"/>
      <c r="F272" s="67"/>
    </row>
    <row r="273">
      <c r="A273" s="66"/>
      <c r="B273" s="66"/>
      <c r="C273" s="66"/>
      <c r="D273" s="66"/>
      <c r="E273" s="66"/>
      <c r="F273" s="67"/>
    </row>
    <row r="274">
      <c r="A274" s="66"/>
      <c r="B274" s="66"/>
      <c r="C274" s="66"/>
      <c r="D274" s="66"/>
      <c r="E274" s="66"/>
      <c r="F274" s="67"/>
    </row>
    <row r="275">
      <c r="A275" s="66"/>
      <c r="B275" s="66"/>
      <c r="C275" s="66"/>
      <c r="D275" s="66"/>
      <c r="E275" s="66"/>
      <c r="F275" s="67"/>
    </row>
    <row r="276">
      <c r="A276" s="66"/>
      <c r="B276" s="66"/>
      <c r="C276" s="66"/>
      <c r="D276" s="66"/>
      <c r="E276" s="66"/>
      <c r="F276" s="67"/>
    </row>
    <row r="277">
      <c r="A277" s="66"/>
      <c r="B277" s="66"/>
      <c r="C277" s="66"/>
      <c r="D277" s="66"/>
      <c r="E277" s="66"/>
      <c r="F277" s="67"/>
    </row>
    <row r="278">
      <c r="A278" s="66"/>
      <c r="B278" s="66"/>
      <c r="C278" s="66"/>
      <c r="D278" s="66"/>
      <c r="E278" s="66"/>
      <c r="F278" s="67"/>
    </row>
    <row r="279">
      <c r="A279" s="66"/>
      <c r="B279" s="66"/>
      <c r="C279" s="66"/>
      <c r="D279" s="66"/>
      <c r="E279" s="66"/>
      <c r="F279" s="67"/>
    </row>
    <row r="280">
      <c r="A280" s="66"/>
      <c r="B280" s="66"/>
      <c r="C280" s="66"/>
      <c r="D280" s="66"/>
      <c r="E280" s="66"/>
      <c r="F280" s="67"/>
    </row>
    <row r="281">
      <c r="A281" s="66"/>
      <c r="B281" s="66"/>
      <c r="C281" s="66"/>
      <c r="D281" s="66"/>
      <c r="E281" s="66"/>
      <c r="F281" s="67"/>
    </row>
    <row r="282">
      <c r="A282" s="66"/>
      <c r="B282" s="66"/>
      <c r="C282" s="66"/>
      <c r="D282" s="66"/>
      <c r="E282" s="66"/>
      <c r="F282" s="67"/>
    </row>
    <row r="283">
      <c r="A283" s="66"/>
      <c r="B283" s="66"/>
      <c r="C283" s="66"/>
      <c r="D283" s="66"/>
      <c r="E283" s="66"/>
      <c r="F283" s="67"/>
    </row>
    <row r="284">
      <c r="A284" s="66"/>
      <c r="B284" s="66"/>
      <c r="C284" s="66"/>
      <c r="D284" s="66"/>
      <c r="E284" s="66"/>
      <c r="F284" s="67"/>
    </row>
    <row r="285">
      <c r="A285" s="66"/>
      <c r="B285" s="66"/>
      <c r="C285" s="66"/>
      <c r="D285" s="66"/>
      <c r="E285" s="66"/>
      <c r="F285" s="67"/>
    </row>
    <row r="286">
      <c r="A286" s="66"/>
      <c r="B286" s="66"/>
      <c r="C286" s="66"/>
      <c r="D286" s="66"/>
      <c r="E286" s="66"/>
      <c r="F286" s="67"/>
    </row>
    <row r="287">
      <c r="A287" s="66"/>
      <c r="B287" s="66"/>
      <c r="C287" s="66"/>
      <c r="D287" s="66"/>
      <c r="E287" s="66"/>
      <c r="F287" s="67"/>
    </row>
    <row r="288">
      <c r="A288" s="66"/>
      <c r="B288" s="66"/>
      <c r="C288" s="66"/>
      <c r="D288" s="66"/>
      <c r="E288" s="66"/>
      <c r="F288" s="67"/>
    </row>
    <row r="289">
      <c r="A289" s="66"/>
      <c r="B289" s="66"/>
      <c r="C289" s="66"/>
      <c r="D289" s="66"/>
      <c r="E289" s="66"/>
      <c r="F289" s="67"/>
    </row>
    <row r="290">
      <c r="A290" s="66"/>
      <c r="B290" s="66"/>
      <c r="C290" s="66"/>
      <c r="D290" s="66"/>
      <c r="E290" s="66"/>
      <c r="F290" s="67"/>
    </row>
    <row r="291">
      <c r="A291" s="66"/>
      <c r="B291" s="66"/>
      <c r="C291" s="66"/>
      <c r="D291" s="66"/>
      <c r="E291" s="66"/>
      <c r="F291" s="67"/>
    </row>
    <row r="292">
      <c r="A292" s="66"/>
      <c r="B292" s="66"/>
      <c r="C292" s="66"/>
      <c r="D292" s="66"/>
      <c r="E292" s="66"/>
      <c r="F292" s="67"/>
    </row>
    <row r="293">
      <c r="A293" s="66"/>
      <c r="B293" s="66"/>
      <c r="C293" s="66"/>
      <c r="D293" s="66"/>
      <c r="E293" s="66"/>
      <c r="F293" s="67"/>
    </row>
    <row r="294">
      <c r="A294" s="66"/>
      <c r="B294" s="66"/>
      <c r="C294" s="66"/>
      <c r="D294" s="66"/>
      <c r="E294" s="66"/>
      <c r="F294" s="67"/>
    </row>
    <row r="295">
      <c r="A295" s="66"/>
      <c r="B295" s="66"/>
      <c r="C295" s="66"/>
      <c r="D295" s="66"/>
      <c r="E295" s="66"/>
      <c r="F295" s="67"/>
    </row>
    <row r="296">
      <c r="A296" s="66"/>
      <c r="B296" s="66"/>
      <c r="C296" s="66"/>
      <c r="D296" s="66"/>
      <c r="E296" s="66"/>
      <c r="F296" s="67"/>
    </row>
    <row r="297">
      <c r="A297" s="66"/>
      <c r="B297" s="66"/>
      <c r="C297" s="66"/>
      <c r="D297" s="66"/>
      <c r="E297" s="66"/>
      <c r="F297" s="67"/>
    </row>
    <row r="298">
      <c r="A298" s="66"/>
      <c r="B298" s="66"/>
      <c r="C298" s="66"/>
      <c r="D298" s="66"/>
      <c r="E298" s="66"/>
      <c r="F298" s="67"/>
    </row>
    <row r="299">
      <c r="A299" s="66"/>
      <c r="B299" s="66"/>
      <c r="C299" s="66"/>
      <c r="D299" s="66"/>
      <c r="E299" s="66"/>
      <c r="F299" s="67"/>
    </row>
    <row r="300">
      <c r="A300" s="66"/>
      <c r="B300" s="66"/>
      <c r="C300" s="66"/>
      <c r="D300" s="66"/>
      <c r="E300" s="66"/>
      <c r="F300" s="67"/>
    </row>
    <row r="301">
      <c r="A301" s="66"/>
      <c r="B301" s="66"/>
      <c r="C301" s="66"/>
      <c r="D301" s="66"/>
      <c r="E301" s="66"/>
      <c r="F301" s="67"/>
    </row>
    <row r="302">
      <c r="A302" s="66"/>
      <c r="B302" s="66"/>
      <c r="C302" s="66"/>
      <c r="D302" s="66"/>
      <c r="E302" s="66"/>
      <c r="F302" s="67"/>
    </row>
    <row r="303">
      <c r="A303" s="66"/>
      <c r="B303" s="66"/>
      <c r="C303" s="66"/>
      <c r="D303" s="66"/>
      <c r="E303" s="66"/>
      <c r="F303" s="67"/>
    </row>
    <row r="304">
      <c r="A304" s="66"/>
      <c r="B304" s="66"/>
      <c r="C304" s="66"/>
      <c r="D304" s="66"/>
      <c r="E304" s="66"/>
      <c r="F304" s="67"/>
    </row>
    <row r="305">
      <c r="A305" s="66"/>
      <c r="B305" s="66"/>
      <c r="C305" s="66"/>
      <c r="D305" s="66"/>
      <c r="E305" s="66"/>
      <c r="F305" s="67"/>
    </row>
    <row r="306">
      <c r="A306" s="66"/>
      <c r="B306" s="66"/>
      <c r="C306" s="66"/>
      <c r="D306" s="66"/>
      <c r="E306" s="66"/>
      <c r="F306" s="67"/>
    </row>
    <row r="307">
      <c r="A307" s="66"/>
      <c r="B307" s="66"/>
      <c r="C307" s="66"/>
      <c r="D307" s="66"/>
      <c r="E307" s="66"/>
      <c r="F307" s="67"/>
    </row>
    <row r="308">
      <c r="A308" s="66"/>
      <c r="B308" s="66"/>
      <c r="C308" s="66"/>
      <c r="D308" s="66"/>
      <c r="E308" s="66"/>
      <c r="F308" s="67"/>
    </row>
    <row r="309">
      <c r="A309" s="66"/>
      <c r="B309" s="66"/>
      <c r="C309" s="66"/>
      <c r="D309" s="66"/>
      <c r="E309" s="66"/>
      <c r="F309" s="67"/>
    </row>
    <row r="310">
      <c r="A310" s="66"/>
      <c r="B310" s="66"/>
      <c r="C310" s="66"/>
      <c r="D310" s="66"/>
      <c r="E310" s="66"/>
      <c r="F310" s="67"/>
    </row>
    <row r="311">
      <c r="A311" s="66"/>
      <c r="B311" s="66"/>
      <c r="C311" s="66"/>
      <c r="D311" s="66"/>
      <c r="E311" s="66"/>
      <c r="F311" s="67"/>
    </row>
    <row r="312">
      <c r="A312" s="66"/>
      <c r="B312" s="66"/>
      <c r="C312" s="66"/>
      <c r="D312" s="66"/>
      <c r="E312" s="66"/>
      <c r="F312" s="67"/>
    </row>
    <row r="313">
      <c r="A313" s="66"/>
      <c r="B313" s="66"/>
      <c r="C313" s="66"/>
      <c r="D313" s="66"/>
      <c r="E313" s="66"/>
      <c r="F313" s="67"/>
    </row>
    <row r="314">
      <c r="A314" s="66"/>
      <c r="B314" s="66"/>
      <c r="C314" s="66"/>
      <c r="D314" s="66"/>
      <c r="E314" s="66"/>
      <c r="F314" s="67"/>
    </row>
    <row r="315">
      <c r="A315" s="66"/>
      <c r="B315" s="66"/>
      <c r="C315" s="66"/>
      <c r="D315" s="66"/>
      <c r="E315" s="66"/>
      <c r="F315" s="67"/>
    </row>
    <row r="316">
      <c r="A316" s="66"/>
      <c r="B316" s="66"/>
      <c r="C316" s="66"/>
      <c r="D316" s="66"/>
      <c r="E316" s="66"/>
      <c r="F316" s="67"/>
    </row>
    <row r="317">
      <c r="A317" s="66"/>
      <c r="B317" s="66"/>
      <c r="C317" s="66"/>
      <c r="D317" s="66"/>
      <c r="E317" s="66"/>
      <c r="F317" s="67"/>
    </row>
    <row r="318">
      <c r="A318" s="66"/>
      <c r="B318" s="66"/>
      <c r="C318" s="66"/>
      <c r="D318" s="66"/>
      <c r="E318" s="66"/>
      <c r="F318" s="67"/>
    </row>
    <row r="319">
      <c r="A319" s="66"/>
      <c r="B319" s="66"/>
      <c r="C319" s="66"/>
      <c r="D319" s="66"/>
      <c r="E319" s="66"/>
      <c r="F319" s="67"/>
    </row>
    <row r="320">
      <c r="A320" s="66"/>
      <c r="B320" s="66"/>
      <c r="C320" s="66"/>
      <c r="D320" s="66"/>
      <c r="E320" s="66"/>
      <c r="F320" s="67"/>
    </row>
    <row r="321">
      <c r="A321" s="66"/>
      <c r="B321" s="66"/>
      <c r="C321" s="66"/>
      <c r="D321" s="66"/>
      <c r="E321" s="66"/>
      <c r="F321" s="67"/>
    </row>
    <row r="322">
      <c r="A322" s="66"/>
      <c r="B322" s="66"/>
      <c r="C322" s="66"/>
      <c r="D322" s="66"/>
      <c r="E322" s="66"/>
      <c r="F322" s="67"/>
    </row>
    <row r="323">
      <c r="A323" s="66"/>
      <c r="B323" s="66"/>
      <c r="C323" s="66"/>
      <c r="D323" s="66"/>
      <c r="E323" s="66"/>
      <c r="F323" s="67"/>
    </row>
    <row r="324">
      <c r="A324" s="66"/>
      <c r="B324" s="66"/>
      <c r="C324" s="66"/>
      <c r="D324" s="66"/>
      <c r="E324" s="66"/>
      <c r="F324" s="67"/>
    </row>
    <row r="325">
      <c r="A325" s="66"/>
      <c r="B325" s="66"/>
      <c r="C325" s="66"/>
      <c r="D325" s="66"/>
      <c r="E325" s="66"/>
      <c r="F325" s="67"/>
    </row>
    <row r="326">
      <c r="A326" s="66"/>
      <c r="B326" s="66"/>
      <c r="C326" s="66"/>
      <c r="D326" s="66"/>
      <c r="E326" s="66"/>
      <c r="F326" s="67"/>
    </row>
    <row r="327">
      <c r="A327" s="66"/>
      <c r="B327" s="66"/>
      <c r="C327" s="66"/>
      <c r="D327" s="66"/>
      <c r="E327" s="66"/>
      <c r="F327" s="67"/>
    </row>
    <row r="328">
      <c r="A328" s="66"/>
      <c r="B328" s="66"/>
      <c r="C328" s="66"/>
      <c r="D328" s="66"/>
      <c r="E328" s="66"/>
      <c r="F328" s="67"/>
    </row>
    <row r="329">
      <c r="A329" s="66"/>
      <c r="B329" s="66"/>
      <c r="C329" s="66"/>
      <c r="D329" s="66"/>
      <c r="E329" s="66"/>
      <c r="F329" s="67"/>
    </row>
    <row r="330">
      <c r="A330" s="66"/>
      <c r="B330" s="66"/>
      <c r="C330" s="66"/>
      <c r="D330" s="66"/>
      <c r="E330" s="66"/>
      <c r="F330" s="67"/>
    </row>
    <row r="331">
      <c r="A331" s="66"/>
      <c r="B331" s="66"/>
      <c r="C331" s="66"/>
      <c r="D331" s="66"/>
      <c r="E331" s="66"/>
      <c r="F331" s="67"/>
    </row>
    <row r="332">
      <c r="A332" s="66"/>
      <c r="B332" s="66"/>
      <c r="C332" s="66"/>
      <c r="D332" s="66"/>
      <c r="E332" s="66"/>
      <c r="F332" s="67"/>
    </row>
    <row r="333">
      <c r="A333" s="66"/>
      <c r="B333" s="66"/>
      <c r="C333" s="66"/>
      <c r="D333" s="66"/>
      <c r="E333" s="66"/>
      <c r="F333" s="67"/>
    </row>
    <row r="334">
      <c r="A334" s="66"/>
      <c r="B334" s="66"/>
      <c r="C334" s="66"/>
      <c r="D334" s="66"/>
      <c r="E334" s="66"/>
      <c r="F334" s="67"/>
    </row>
    <row r="335">
      <c r="A335" s="66"/>
      <c r="B335" s="66"/>
      <c r="C335" s="66"/>
      <c r="D335" s="66"/>
      <c r="E335" s="66"/>
      <c r="F335" s="67"/>
    </row>
    <row r="336">
      <c r="A336" s="66"/>
      <c r="B336" s="66"/>
      <c r="C336" s="66"/>
      <c r="D336" s="66"/>
      <c r="E336" s="66"/>
      <c r="F336" s="67"/>
    </row>
    <row r="337">
      <c r="A337" s="66"/>
      <c r="B337" s="66"/>
      <c r="C337" s="66"/>
      <c r="D337" s="66"/>
      <c r="E337" s="66"/>
      <c r="F337" s="67"/>
    </row>
    <row r="338">
      <c r="A338" s="66"/>
      <c r="B338" s="66"/>
      <c r="C338" s="66"/>
      <c r="D338" s="66"/>
      <c r="E338" s="66"/>
      <c r="F338" s="67"/>
    </row>
    <row r="339">
      <c r="A339" s="66"/>
      <c r="B339" s="66"/>
      <c r="C339" s="66"/>
      <c r="D339" s="66"/>
      <c r="E339" s="66"/>
      <c r="F339" s="67"/>
    </row>
    <row r="340">
      <c r="A340" s="66"/>
      <c r="B340" s="66"/>
      <c r="C340" s="66"/>
      <c r="D340" s="66"/>
      <c r="E340" s="66"/>
      <c r="F340" s="67"/>
    </row>
    <row r="341">
      <c r="A341" s="66"/>
      <c r="B341" s="66"/>
      <c r="C341" s="66"/>
      <c r="D341" s="66"/>
      <c r="E341" s="66"/>
      <c r="F341" s="67"/>
    </row>
    <row r="342">
      <c r="A342" s="66"/>
      <c r="B342" s="66"/>
      <c r="C342" s="66"/>
      <c r="D342" s="66"/>
      <c r="E342" s="66"/>
      <c r="F342" s="67"/>
    </row>
    <row r="343">
      <c r="A343" s="66"/>
      <c r="B343" s="66"/>
      <c r="C343" s="66"/>
      <c r="D343" s="66"/>
      <c r="E343" s="66"/>
      <c r="F343" s="67"/>
    </row>
    <row r="344">
      <c r="A344" s="66"/>
      <c r="B344" s="66"/>
      <c r="C344" s="66"/>
      <c r="D344" s="66"/>
      <c r="E344" s="66"/>
      <c r="F344" s="67"/>
    </row>
    <row r="345">
      <c r="A345" s="66"/>
      <c r="B345" s="66"/>
      <c r="C345" s="66"/>
      <c r="D345" s="66"/>
      <c r="E345" s="66"/>
      <c r="F345" s="67"/>
    </row>
    <row r="346">
      <c r="A346" s="66"/>
      <c r="B346" s="66"/>
      <c r="C346" s="66"/>
      <c r="D346" s="66"/>
      <c r="E346" s="66"/>
      <c r="F346" s="67"/>
    </row>
    <row r="347">
      <c r="A347" s="66"/>
      <c r="B347" s="66"/>
      <c r="C347" s="66"/>
      <c r="D347" s="66"/>
      <c r="E347" s="66"/>
      <c r="F347" s="67"/>
    </row>
    <row r="348">
      <c r="A348" s="66"/>
      <c r="B348" s="66"/>
      <c r="C348" s="66"/>
      <c r="D348" s="66"/>
      <c r="E348" s="66"/>
      <c r="F348" s="67"/>
    </row>
    <row r="349">
      <c r="A349" s="66"/>
      <c r="B349" s="66"/>
      <c r="C349" s="66"/>
      <c r="D349" s="66"/>
      <c r="E349" s="66"/>
      <c r="F349" s="67"/>
    </row>
    <row r="350">
      <c r="A350" s="66"/>
      <c r="B350" s="66"/>
      <c r="C350" s="66"/>
      <c r="D350" s="66"/>
      <c r="E350" s="66"/>
      <c r="F350" s="67"/>
    </row>
    <row r="351">
      <c r="A351" s="66"/>
      <c r="B351" s="66"/>
      <c r="C351" s="66"/>
      <c r="D351" s="66"/>
      <c r="E351" s="66"/>
      <c r="F351" s="67"/>
    </row>
    <row r="352">
      <c r="A352" s="66"/>
      <c r="B352" s="66"/>
      <c r="C352" s="66"/>
      <c r="D352" s="66"/>
      <c r="E352" s="66"/>
      <c r="F352" s="67"/>
    </row>
    <row r="353">
      <c r="A353" s="66"/>
      <c r="B353" s="66"/>
      <c r="C353" s="66"/>
      <c r="D353" s="66"/>
      <c r="E353" s="66"/>
      <c r="F353" s="67"/>
    </row>
    <row r="354">
      <c r="A354" s="66"/>
      <c r="B354" s="66"/>
      <c r="C354" s="66"/>
      <c r="D354" s="66"/>
      <c r="E354" s="66"/>
      <c r="F354" s="67"/>
    </row>
    <row r="355">
      <c r="A355" s="66"/>
      <c r="B355" s="66"/>
      <c r="C355" s="66"/>
      <c r="D355" s="66"/>
      <c r="E355" s="66"/>
      <c r="F355" s="67"/>
    </row>
    <row r="356">
      <c r="A356" s="66"/>
      <c r="B356" s="66"/>
      <c r="C356" s="66"/>
      <c r="D356" s="66"/>
      <c r="E356" s="66"/>
      <c r="F356" s="67"/>
    </row>
    <row r="357">
      <c r="A357" s="66"/>
      <c r="B357" s="66"/>
      <c r="C357" s="66"/>
      <c r="D357" s="66"/>
      <c r="E357" s="66"/>
      <c r="F357" s="67"/>
    </row>
    <row r="358">
      <c r="A358" s="66"/>
      <c r="B358" s="66"/>
      <c r="C358" s="66"/>
      <c r="D358" s="66"/>
      <c r="E358" s="66"/>
      <c r="F358" s="67"/>
    </row>
    <row r="359">
      <c r="A359" s="66"/>
      <c r="B359" s="66"/>
      <c r="C359" s="66"/>
      <c r="D359" s="66"/>
      <c r="E359" s="66"/>
      <c r="F359" s="67"/>
    </row>
    <row r="360">
      <c r="A360" s="66"/>
      <c r="B360" s="66"/>
      <c r="C360" s="66"/>
      <c r="D360" s="66"/>
      <c r="E360" s="66"/>
      <c r="F360" s="67"/>
    </row>
    <row r="361">
      <c r="A361" s="66"/>
      <c r="B361" s="66"/>
      <c r="C361" s="66"/>
      <c r="D361" s="66"/>
      <c r="E361" s="66"/>
      <c r="F361" s="67"/>
    </row>
    <row r="362">
      <c r="A362" s="66"/>
      <c r="B362" s="66"/>
      <c r="C362" s="66"/>
      <c r="D362" s="66"/>
      <c r="E362" s="66"/>
      <c r="F362" s="67"/>
    </row>
    <row r="363">
      <c r="A363" s="66"/>
      <c r="B363" s="66"/>
      <c r="C363" s="66"/>
      <c r="D363" s="66"/>
      <c r="E363" s="66"/>
      <c r="F363" s="67"/>
    </row>
    <row r="364">
      <c r="A364" s="66"/>
      <c r="B364" s="66"/>
      <c r="C364" s="66"/>
      <c r="D364" s="66"/>
      <c r="E364" s="66"/>
      <c r="F364" s="67"/>
    </row>
    <row r="365">
      <c r="A365" s="66"/>
      <c r="B365" s="66"/>
      <c r="C365" s="66"/>
      <c r="D365" s="66"/>
      <c r="E365" s="66"/>
      <c r="F365" s="67"/>
    </row>
    <row r="366">
      <c r="A366" s="66"/>
      <c r="B366" s="66"/>
      <c r="C366" s="66"/>
      <c r="D366" s="66"/>
      <c r="E366" s="66"/>
      <c r="F366" s="67"/>
    </row>
    <row r="367">
      <c r="A367" s="66"/>
      <c r="B367" s="66"/>
      <c r="C367" s="66"/>
      <c r="D367" s="66"/>
      <c r="E367" s="66"/>
      <c r="F367" s="67"/>
    </row>
    <row r="368">
      <c r="A368" s="66"/>
      <c r="B368" s="66"/>
      <c r="C368" s="66"/>
      <c r="D368" s="66"/>
      <c r="E368" s="66"/>
      <c r="F368" s="67"/>
    </row>
    <row r="369">
      <c r="A369" s="66"/>
      <c r="B369" s="66"/>
      <c r="C369" s="66"/>
      <c r="D369" s="66"/>
      <c r="E369" s="66"/>
      <c r="F369" s="67"/>
    </row>
    <row r="370">
      <c r="A370" s="66"/>
      <c r="B370" s="66"/>
      <c r="C370" s="66"/>
      <c r="D370" s="66"/>
      <c r="E370" s="66"/>
      <c r="F370" s="67"/>
    </row>
    <row r="371">
      <c r="A371" s="66"/>
      <c r="B371" s="66"/>
      <c r="C371" s="66"/>
      <c r="D371" s="66"/>
      <c r="E371" s="66"/>
      <c r="F371" s="67"/>
    </row>
    <row r="372">
      <c r="A372" s="66"/>
      <c r="B372" s="66"/>
      <c r="C372" s="66"/>
      <c r="D372" s="66"/>
      <c r="E372" s="66"/>
      <c r="F372" s="67"/>
    </row>
    <row r="373">
      <c r="A373" s="66"/>
      <c r="B373" s="66"/>
      <c r="C373" s="66"/>
      <c r="D373" s="66"/>
      <c r="E373" s="66"/>
      <c r="F373" s="67"/>
    </row>
    <row r="374">
      <c r="A374" s="66"/>
      <c r="B374" s="66"/>
      <c r="C374" s="66"/>
      <c r="D374" s="66"/>
      <c r="E374" s="66"/>
      <c r="F374" s="67"/>
    </row>
    <row r="375">
      <c r="A375" s="66"/>
      <c r="B375" s="66"/>
      <c r="C375" s="66"/>
      <c r="D375" s="66"/>
      <c r="E375" s="66"/>
      <c r="F375" s="67"/>
    </row>
    <row r="376">
      <c r="A376" s="66"/>
      <c r="B376" s="66"/>
      <c r="C376" s="66"/>
      <c r="D376" s="66"/>
      <c r="E376" s="66"/>
      <c r="F376" s="67"/>
    </row>
    <row r="377">
      <c r="A377" s="66"/>
      <c r="B377" s="66"/>
      <c r="C377" s="66"/>
      <c r="D377" s="66"/>
      <c r="E377" s="66"/>
      <c r="F377" s="67"/>
    </row>
    <row r="378">
      <c r="A378" s="66"/>
      <c r="B378" s="66"/>
      <c r="C378" s="66"/>
      <c r="D378" s="66"/>
      <c r="E378" s="66"/>
      <c r="F378" s="67"/>
    </row>
    <row r="379">
      <c r="A379" s="66"/>
      <c r="B379" s="66"/>
      <c r="C379" s="66"/>
      <c r="D379" s="66"/>
      <c r="E379" s="66"/>
      <c r="F379" s="67"/>
    </row>
    <row r="380">
      <c r="A380" s="66"/>
      <c r="B380" s="66"/>
      <c r="C380" s="66"/>
      <c r="D380" s="66"/>
      <c r="E380" s="66"/>
      <c r="F380" s="67"/>
    </row>
    <row r="381">
      <c r="A381" s="66"/>
      <c r="B381" s="66"/>
      <c r="C381" s="66"/>
      <c r="D381" s="66"/>
      <c r="E381" s="66"/>
      <c r="F381" s="67"/>
    </row>
    <row r="382">
      <c r="A382" s="66"/>
      <c r="B382" s="66"/>
      <c r="C382" s="66"/>
      <c r="D382" s="66"/>
      <c r="E382" s="66"/>
      <c r="F382" s="67"/>
    </row>
    <row r="383">
      <c r="A383" s="66"/>
      <c r="B383" s="66"/>
      <c r="C383" s="66"/>
      <c r="D383" s="66"/>
      <c r="E383" s="66"/>
      <c r="F383" s="67"/>
    </row>
    <row r="384">
      <c r="A384" s="66"/>
      <c r="B384" s="66"/>
      <c r="C384" s="66"/>
      <c r="D384" s="66"/>
      <c r="E384" s="66"/>
      <c r="F384" s="67"/>
    </row>
    <row r="385">
      <c r="A385" s="66"/>
      <c r="B385" s="66"/>
      <c r="C385" s="66"/>
      <c r="D385" s="66"/>
      <c r="E385" s="66"/>
      <c r="F385" s="67"/>
    </row>
    <row r="386">
      <c r="A386" s="66"/>
      <c r="B386" s="66"/>
      <c r="C386" s="66"/>
      <c r="D386" s="66"/>
      <c r="E386" s="66"/>
      <c r="F386" s="67"/>
    </row>
    <row r="387">
      <c r="A387" s="66"/>
      <c r="B387" s="66"/>
      <c r="C387" s="66"/>
      <c r="D387" s="66"/>
      <c r="E387" s="66"/>
      <c r="F387" s="67"/>
    </row>
    <row r="388">
      <c r="A388" s="66"/>
      <c r="B388" s="66"/>
      <c r="C388" s="66"/>
      <c r="D388" s="66"/>
      <c r="E388" s="66"/>
      <c r="F388" s="67"/>
    </row>
    <row r="389">
      <c r="A389" s="66"/>
      <c r="B389" s="66"/>
      <c r="C389" s="66"/>
      <c r="D389" s="66"/>
      <c r="E389" s="66"/>
      <c r="F389" s="67"/>
    </row>
    <row r="390">
      <c r="A390" s="66"/>
      <c r="B390" s="66"/>
      <c r="C390" s="66"/>
      <c r="D390" s="66"/>
      <c r="E390" s="66"/>
      <c r="F390" s="67"/>
    </row>
    <row r="391">
      <c r="A391" s="66"/>
      <c r="B391" s="66"/>
      <c r="C391" s="66"/>
      <c r="D391" s="66"/>
      <c r="E391" s="66"/>
      <c r="F391" s="67"/>
    </row>
    <row r="392">
      <c r="A392" s="66"/>
      <c r="B392" s="66"/>
      <c r="C392" s="66"/>
      <c r="D392" s="66"/>
      <c r="E392" s="66"/>
      <c r="F392" s="67"/>
    </row>
    <row r="393">
      <c r="A393" s="66"/>
      <c r="B393" s="66"/>
      <c r="C393" s="66"/>
      <c r="D393" s="66"/>
      <c r="E393" s="66"/>
      <c r="F393" s="67"/>
    </row>
    <row r="394">
      <c r="A394" s="66"/>
      <c r="B394" s="66"/>
      <c r="C394" s="66"/>
      <c r="D394" s="66"/>
      <c r="E394" s="66"/>
      <c r="F394" s="67"/>
    </row>
    <row r="395">
      <c r="A395" s="66"/>
      <c r="B395" s="66"/>
      <c r="C395" s="66"/>
      <c r="D395" s="66"/>
      <c r="E395" s="66"/>
      <c r="F395" s="67"/>
    </row>
    <row r="396">
      <c r="A396" s="66"/>
      <c r="B396" s="66"/>
      <c r="C396" s="66"/>
      <c r="D396" s="66"/>
      <c r="E396" s="66"/>
      <c r="F396" s="67"/>
    </row>
    <row r="397">
      <c r="A397" s="66"/>
      <c r="B397" s="66"/>
      <c r="C397" s="66"/>
      <c r="D397" s="66"/>
      <c r="E397" s="66"/>
      <c r="F397" s="67"/>
    </row>
    <row r="398">
      <c r="A398" s="66"/>
      <c r="B398" s="66"/>
      <c r="C398" s="66"/>
      <c r="D398" s="66"/>
      <c r="E398" s="66"/>
      <c r="F398" s="67"/>
    </row>
    <row r="399">
      <c r="A399" s="66"/>
      <c r="B399" s="66"/>
      <c r="C399" s="66"/>
      <c r="D399" s="66"/>
      <c r="E399" s="66"/>
      <c r="F399" s="67"/>
    </row>
    <row r="400">
      <c r="A400" s="66"/>
      <c r="B400" s="66"/>
      <c r="C400" s="66"/>
      <c r="D400" s="66"/>
      <c r="E400" s="66"/>
      <c r="F400" s="67"/>
    </row>
    <row r="401">
      <c r="A401" s="66"/>
      <c r="B401" s="66"/>
      <c r="C401" s="66"/>
      <c r="D401" s="66"/>
      <c r="E401" s="66"/>
      <c r="F401" s="67"/>
    </row>
    <row r="402">
      <c r="A402" s="66"/>
      <c r="B402" s="66"/>
      <c r="C402" s="66"/>
      <c r="D402" s="66"/>
      <c r="E402" s="66"/>
      <c r="F402" s="67"/>
    </row>
    <row r="403">
      <c r="A403" s="66"/>
      <c r="B403" s="66"/>
      <c r="C403" s="66"/>
      <c r="D403" s="66"/>
      <c r="E403" s="66"/>
      <c r="F403" s="67"/>
    </row>
    <row r="404">
      <c r="A404" s="66"/>
      <c r="B404" s="66"/>
      <c r="C404" s="66"/>
      <c r="D404" s="66"/>
      <c r="E404" s="66"/>
      <c r="F404" s="67"/>
    </row>
    <row r="405">
      <c r="A405" s="66"/>
      <c r="B405" s="66"/>
      <c r="C405" s="66"/>
      <c r="D405" s="66"/>
      <c r="E405" s="66"/>
      <c r="F405" s="67"/>
    </row>
    <row r="406">
      <c r="A406" s="66"/>
      <c r="B406" s="66"/>
      <c r="C406" s="66"/>
      <c r="D406" s="66"/>
      <c r="E406" s="66"/>
      <c r="F406" s="67"/>
    </row>
    <row r="407">
      <c r="A407" s="66"/>
      <c r="B407" s="66"/>
      <c r="C407" s="66"/>
      <c r="D407" s="66"/>
      <c r="E407" s="66"/>
      <c r="F407" s="67"/>
    </row>
    <row r="408">
      <c r="A408" s="66"/>
      <c r="B408" s="66"/>
      <c r="C408" s="66"/>
      <c r="D408" s="66"/>
      <c r="E408" s="66"/>
      <c r="F408" s="67"/>
    </row>
    <row r="409">
      <c r="A409" s="66"/>
      <c r="B409" s="66"/>
      <c r="C409" s="66"/>
      <c r="D409" s="66"/>
      <c r="E409" s="66"/>
      <c r="F409" s="67"/>
    </row>
    <row r="410">
      <c r="A410" s="66"/>
      <c r="B410" s="66"/>
      <c r="C410" s="66"/>
      <c r="D410" s="66"/>
      <c r="E410" s="66"/>
      <c r="F410" s="67"/>
    </row>
    <row r="411">
      <c r="A411" s="66"/>
      <c r="B411" s="66"/>
      <c r="C411" s="66"/>
      <c r="D411" s="66"/>
      <c r="E411" s="66"/>
      <c r="F411" s="67"/>
    </row>
    <row r="412">
      <c r="A412" s="66"/>
      <c r="B412" s="66"/>
      <c r="C412" s="66"/>
      <c r="D412" s="66"/>
      <c r="E412" s="66"/>
      <c r="F412" s="67"/>
    </row>
    <row r="413">
      <c r="A413" s="66"/>
      <c r="B413" s="66"/>
      <c r="C413" s="66"/>
      <c r="D413" s="66"/>
      <c r="E413" s="66"/>
      <c r="F413" s="67"/>
    </row>
    <row r="414">
      <c r="A414" s="66"/>
      <c r="B414" s="66"/>
      <c r="C414" s="66"/>
      <c r="D414" s="66"/>
      <c r="E414" s="66"/>
      <c r="F414" s="67"/>
    </row>
    <row r="415">
      <c r="A415" s="66"/>
      <c r="B415" s="66"/>
      <c r="C415" s="66"/>
      <c r="D415" s="66"/>
      <c r="E415" s="66"/>
      <c r="F415" s="67"/>
    </row>
    <row r="416">
      <c r="A416" s="66"/>
      <c r="B416" s="66"/>
      <c r="C416" s="66"/>
      <c r="D416" s="66"/>
      <c r="E416" s="66"/>
      <c r="F416" s="67"/>
    </row>
    <row r="417">
      <c r="A417" s="66"/>
      <c r="B417" s="66"/>
      <c r="C417" s="66"/>
      <c r="D417" s="66"/>
      <c r="E417" s="66"/>
      <c r="F417" s="67"/>
    </row>
    <row r="418">
      <c r="A418" s="66"/>
      <c r="B418" s="66"/>
      <c r="C418" s="66"/>
      <c r="D418" s="66"/>
      <c r="E418" s="66"/>
      <c r="F418" s="67"/>
    </row>
    <row r="419">
      <c r="A419" s="66"/>
      <c r="B419" s="66"/>
      <c r="C419" s="66"/>
      <c r="D419" s="66"/>
      <c r="E419" s="66"/>
      <c r="F419" s="67"/>
    </row>
    <row r="420">
      <c r="A420" s="66"/>
      <c r="B420" s="66"/>
      <c r="C420" s="66"/>
      <c r="D420" s="66"/>
      <c r="E420" s="66"/>
      <c r="F420" s="67"/>
    </row>
    <row r="421">
      <c r="A421" s="66"/>
      <c r="B421" s="66"/>
      <c r="C421" s="66"/>
      <c r="D421" s="66"/>
      <c r="E421" s="66"/>
      <c r="F421" s="67"/>
    </row>
    <row r="422">
      <c r="A422" s="66"/>
      <c r="B422" s="66"/>
      <c r="C422" s="66"/>
      <c r="D422" s="66"/>
      <c r="E422" s="66"/>
      <c r="F422" s="67"/>
    </row>
    <row r="423">
      <c r="A423" s="66"/>
      <c r="B423" s="66"/>
      <c r="C423" s="66"/>
      <c r="D423" s="66"/>
      <c r="E423" s="66"/>
      <c r="F423" s="67"/>
    </row>
    <row r="424">
      <c r="A424" s="66"/>
      <c r="B424" s="66"/>
      <c r="C424" s="66"/>
      <c r="D424" s="66"/>
      <c r="E424" s="66"/>
      <c r="F424" s="67"/>
    </row>
    <row r="425">
      <c r="A425" s="66"/>
      <c r="B425" s="66"/>
      <c r="C425" s="66"/>
      <c r="D425" s="66"/>
      <c r="E425" s="66"/>
      <c r="F425" s="67"/>
    </row>
    <row r="426">
      <c r="A426" s="66"/>
      <c r="B426" s="66"/>
      <c r="C426" s="66"/>
      <c r="D426" s="66"/>
      <c r="E426" s="66"/>
      <c r="F426" s="67"/>
    </row>
    <row r="427">
      <c r="A427" s="66"/>
      <c r="B427" s="66"/>
      <c r="C427" s="66"/>
      <c r="D427" s="66"/>
      <c r="E427" s="66"/>
      <c r="F427" s="67"/>
    </row>
    <row r="428">
      <c r="A428" s="66"/>
      <c r="B428" s="66"/>
      <c r="C428" s="66"/>
      <c r="D428" s="66"/>
      <c r="E428" s="66"/>
      <c r="F428" s="67"/>
    </row>
    <row r="429">
      <c r="A429" s="66"/>
      <c r="B429" s="66"/>
      <c r="C429" s="66"/>
      <c r="D429" s="66"/>
      <c r="E429" s="66"/>
      <c r="F429" s="67"/>
    </row>
    <row r="430">
      <c r="A430" s="66"/>
      <c r="B430" s="66"/>
      <c r="C430" s="66"/>
      <c r="D430" s="66"/>
      <c r="E430" s="66"/>
      <c r="F430" s="67"/>
    </row>
    <row r="431">
      <c r="A431" s="66"/>
      <c r="B431" s="66"/>
      <c r="C431" s="66"/>
      <c r="D431" s="66"/>
      <c r="E431" s="66"/>
      <c r="F431" s="67"/>
    </row>
    <row r="432">
      <c r="A432" s="66"/>
      <c r="B432" s="66"/>
      <c r="C432" s="66"/>
      <c r="D432" s="66"/>
      <c r="E432" s="66"/>
      <c r="F432" s="67"/>
    </row>
    <row r="433">
      <c r="A433" s="66"/>
      <c r="B433" s="66"/>
      <c r="C433" s="66"/>
      <c r="D433" s="66"/>
      <c r="E433" s="66"/>
      <c r="F433" s="67"/>
    </row>
    <row r="434">
      <c r="A434" s="66"/>
      <c r="B434" s="66"/>
      <c r="C434" s="66"/>
      <c r="D434" s="66"/>
      <c r="E434" s="66"/>
      <c r="F434" s="67"/>
    </row>
    <row r="435">
      <c r="A435" s="66"/>
      <c r="B435" s="66"/>
      <c r="C435" s="66"/>
      <c r="D435" s="66"/>
      <c r="E435" s="66"/>
      <c r="F435" s="67"/>
    </row>
    <row r="436">
      <c r="A436" s="66"/>
      <c r="B436" s="66"/>
      <c r="C436" s="66"/>
      <c r="D436" s="66"/>
      <c r="E436" s="66"/>
      <c r="F436" s="67"/>
    </row>
    <row r="437">
      <c r="A437" s="66"/>
      <c r="B437" s="66"/>
      <c r="C437" s="66"/>
      <c r="D437" s="66"/>
      <c r="E437" s="66"/>
      <c r="F437" s="67"/>
    </row>
    <row r="438">
      <c r="A438" s="66"/>
      <c r="B438" s="66"/>
      <c r="C438" s="66"/>
      <c r="D438" s="66"/>
      <c r="E438" s="66"/>
      <c r="F438" s="67"/>
    </row>
    <row r="439">
      <c r="A439" s="66"/>
      <c r="B439" s="66"/>
      <c r="C439" s="66"/>
      <c r="D439" s="66"/>
      <c r="E439" s="66"/>
      <c r="F439" s="67"/>
    </row>
    <row r="440">
      <c r="A440" s="66"/>
      <c r="B440" s="66"/>
      <c r="C440" s="66"/>
      <c r="D440" s="66"/>
      <c r="E440" s="66"/>
      <c r="F440" s="67"/>
    </row>
    <row r="441">
      <c r="A441" s="66"/>
      <c r="B441" s="66"/>
      <c r="C441" s="66"/>
      <c r="D441" s="66"/>
      <c r="E441" s="66"/>
      <c r="F441" s="67"/>
    </row>
    <row r="442">
      <c r="A442" s="66"/>
      <c r="B442" s="66"/>
      <c r="C442" s="66"/>
      <c r="D442" s="66"/>
      <c r="E442" s="66"/>
      <c r="F442" s="67"/>
    </row>
    <row r="443">
      <c r="A443" s="66"/>
      <c r="B443" s="66"/>
      <c r="C443" s="66"/>
      <c r="D443" s="66"/>
      <c r="E443" s="66"/>
      <c r="F443" s="67"/>
    </row>
    <row r="444">
      <c r="A444" s="66"/>
      <c r="B444" s="66"/>
      <c r="C444" s="66"/>
      <c r="D444" s="66"/>
      <c r="E444" s="66"/>
      <c r="F444" s="67"/>
    </row>
    <row r="445">
      <c r="A445" s="66"/>
      <c r="B445" s="66"/>
      <c r="C445" s="66"/>
      <c r="D445" s="66"/>
      <c r="E445" s="66"/>
      <c r="F445" s="67"/>
    </row>
    <row r="446">
      <c r="A446" s="66"/>
      <c r="B446" s="66"/>
      <c r="C446" s="66"/>
      <c r="D446" s="66"/>
      <c r="E446" s="66"/>
      <c r="F446" s="67"/>
    </row>
    <row r="447">
      <c r="A447" s="66"/>
      <c r="B447" s="66"/>
      <c r="C447" s="66"/>
      <c r="D447" s="66"/>
      <c r="E447" s="66"/>
      <c r="F447" s="67"/>
    </row>
    <row r="448">
      <c r="A448" s="66"/>
      <c r="B448" s="66"/>
      <c r="C448" s="66"/>
      <c r="D448" s="66"/>
      <c r="E448" s="66"/>
      <c r="F448" s="67"/>
    </row>
    <row r="449">
      <c r="A449" s="66"/>
      <c r="B449" s="66"/>
      <c r="C449" s="66"/>
      <c r="D449" s="66"/>
      <c r="E449" s="66"/>
      <c r="F449" s="67"/>
    </row>
    <row r="450">
      <c r="A450" s="66"/>
      <c r="B450" s="66"/>
      <c r="C450" s="66"/>
      <c r="D450" s="66"/>
      <c r="E450" s="66"/>
      <c r="F450" s="67"/>
    </row>
    <row r="451">
      <c r="A451" s="66"/>
      <c r="B451" s="66"/>
      <c r="C451" s="66"/>
      <c r="D451" s="66"/>
      <c r="E451" s="66"/>
      <c r="F451" s="67"/>
    </row>
    <row r="452">
      <c r="A452" s="66"/>
      <c r="B452" s="66"/>
      <c r="C452" s="66"/>
      <c r="D452" s="66"/>
      <c r="E452" s="66"/>
      <c r="F452" s="67"/>
    </row>
    <row r="453">
      <c r="A453" s="66"/>
      <c r="B453" s="66"/>
      <c r="C453" s="66"/>
      <c r="D453" s="66"/>
      <c r="E453" s="66"/>
      <c r="F453" s="67"/>
    </row>
    <row r="454">
      <c r="A454" s="66"/>
      <c r="B454" s="66"/>
      <c r="C454" s="66"/>
      <c r="D454" s="66"/>
      <c r="E454" s="66"/>
      <c r="F454" s="67"/>
    </row>
    <row r="455">
      <c r="A455" s="66"/>
      <c r="B455" s="66"/>
      <c r="C455" s="66"/>
      <c r="D455" s="66"/>
      <c r="E455" s="66"/>
      <c r="F455" s="67"/>
    </row>
    <row r="456">
      <c r="A456" s="66"/>
      <c r="B456" s="66"/>
      <c r="C456" s="66"/>
      <c r="D456" s="66"/>
      <c r="E456" s="66"/>
      <c r="F456" s="67"/>
    </row>
    <row r="457">
      <c r="A457" s="66"/>
      <c r="B457" s="66"/>
      <c r="C457" s="66"/>
      <c r="D457" s="66"/>
      <c r="E457" s="66"/>
      <c r="F457" s="67"/>
    </row>
    <row r="458">
      <c r="A458" s="66"/>
      <c r="B458" s="66"/>
      <c r="C458" s="66"/>
      <c r="D458" s="66"/>
      <c r="E458" s="66"/>
      <c r="F458" s="67"/>
    </row>
    <row r="459">
      <c r="A459" s="66"/>
      <c r="B459" s="66"/>
      <c r="C459" s="66"/>
      <c r="D459" s="66"/>
      <c r="E459" s="66"/>
      <c r="F459" s="67"/>
    </row>
    <row r="460">
      <c r="A460" s="66"/>
      <c r="B460" s="66"/>
      <c r="C460" s="66"/>
      <c r="D460" s="66"/>
      <c r="E460" s="66"/>
      <c r="F460" s="67"/>
    </row>
    <row r="461">
      <c r="A461" s="66"/>
      <c r="B461" s="66"/>
      <c r="C461" s="66"/>
      <c r="D461" s="66"/>
      <c r="E461" s="66"/>
      <c r="F461" s="67"/>
    </row>
    <row r="462">
      <c r="A462" s="66"/>
      <c r="B462" s="66"/>
      <c r="C462" s="66"/>
      <c r="D462" s="66"/>
      <c r="E462" s="66"/>
      <c r="F462" s="67"/>
    </row>
    <row r="463">
      <c r="A463" s="66"/>
      <c r="B463" s="66"/>
      <c r="C463" s="66"/>
      <c r="D463" s="66"/>
      <c r="E463" s="66"/>
      <c r="F463" s="67"/>
    </row>
    <row r="464">
      <c r="A464" s="66"/>
      <c r="B464" s="66"/>
      <c r="C464" s="66"/>
      <c r="D464" s="66"/>
      <c r="E464" s="66"/>
      <c r="F464" s="67"/>
    </row>
    <row r="465">
      <c r="A465" s="66"/>
      <c r="B465" s="66"/>
      <c r="C465" s="66"/>
      <c r="D465" s="66"/>
      <c r="E465" s="66"/>
      <c r="F465" s="67"/>
    </row>
    <row r="466">
      <c r="A466" s="66"/>
      <c r="B466" s="66"/>
      <c r="C466" s="66"/>
      <c r="D466" s="66"/>
      <c r="E466" s="66"/>
      <c r="F466" s="67"/>
    </row>
    <row r="467">
      <c r="A467" s="66"/>
      <c r="B467" s="66"/>
      <c r="C467" s="66"/>
      <c r="D467" s="66"/>
      <c r="E467" s="66"/>
      <c r="F467" s="67"/>
    </row>
    <row r="468">
      <c r="A468" s="66"/>
      <c r="B468" s="66"/>
      <c r="C468" s="66"/>
      <c r="D468" s="66"/>
      <c r="E468" s="66"/>
      <c r="F468" s="67"/>
    </row>
    <row r="469">
      <c r="A469" s="66"/>
      <c r="B469" s="66"/>
      <c r="C469" s="66"/>
      <c r="D469" s="66"/>
      <c r="E469" s="66"/>
      <c r="F469" s="67"/>
    </row>
    <row r="470">
      <c r="A470" s="66"/>
      <c r="B470" s="66"/>
      <c r="C470" s="66"/>
      <c r="D470" s="66"/>
      <c r="E470" s="66"/>
      <c r="F470" s="67"/>
    </row>
    <row r="471">
      <c r="A471" s="66"/>
      <c r="B471" s="66"/>
      <c r="C471" s="66"/>
      <c r="D471" s="66"/>
      <c r="E471" s="66"/>
      <c r="F471" s="67"/>
    </row>
    <row r="472">
      <c r="A472" s="66"/>
      <c r="B472" s="66"/>
      <c r="C472" s="66"/>
      <c r="D472" s="66"/>
      <c r="E472" s="66"/>
      <c r="F472" s="67"/>
    </row>
    <row r="473">
      <c r="A473" s="66"/>
      <c r="B473" s="66"/>
      <c r="C473" s="66"/>
      <c r="D473" s="66"/>
      <c r="E473" s="66"/>
      <c r="F473" s="67"/>
    </row>
    <row r="474">
      <c r="A474" s="66"/>
      <c r="B474" s="66"/>
      <c r="C474" s="66"/>
      <c r="D474" s="66"/>
      <c r="E474" s="66"/>
      <c r="F474" s="67"/>
    </row>
    <row r="475">
      <c r="A475" s="66"/>
      <c r="B475" s="66"/>
      <c r="C475" s="66"/>
      <c r="D475" s="66"/>
      <c r="E475" s="66"/>
      <c r="F475" s="67"/>
    </row>
    <row r="476">
      <c r="A476" s="66"/>
      <c r="B476" s="66"/>
      <c r="C476" s="66"/>
      <c r="D476" s="66"/>
      <c r="E476" s="66"/>
      <c r="F476" s="67"/>
    </row>
    <row r="477">
      <c r="A477" s="66"/>
      <c r="B477" s="66"/>
      <c r="C477" s="66"/>
      <c r="D477" s="66"/>
      <c r="E477" s="66"/>
      <c r="F477" s="67"/>
    </row>
    <row r="478">
      <c r="A478" s="66"/>
      <c r="B478" s="66"/>
      <c r="C478" s="66"/>
      <c r="D478" s="66"/>
      <c r="E478" s="66"/>
      <c r="F478" s="67"/>
    </row>
    <row r="479">
      <c r="A479" s="66"/>
      <c r="B479" s="66"/>
      <c r="C479" s="66"/>
      <c r="D479" s="66"/>
      <c r="E479" s="66"/>
      <c r="F479" s="67"/>
    </row>
    <row r="480">
      <c r="A480" s="66"/>
      <c r="B480" s="66"/>
      <c r="C480" s="66"/>
      <c r="D480" s="66"/>
      <c r="E480" s="66"/>
      <c r="F480" s="67"/>
    </row>
    <row r="481">
      <c r="A481" s="66"/>
      <c r="B481" s="66"/>
      <c r="C481" s="66"/>
      <c r="D481" s="66"/>
      <c r="E481" s="66"/>
      <c r="F481" s="67"/>
    </row>
    <row r="482">
      <c r="A482" s="66"/>
      <c r="B482" s="66"/>
      <c r="C482" s="66"/>
      <c r="D482" s="66"/>
      <c r="E482" s="66"/>
      <c r="F482" s="67"/>
    </row>
    <row r="483">
      <c r="A483" s="66"/>
      <c r="B483" s="66"/>
      <c r="C483" s="66"/>
      <c r="D483" s="66"/>
      <c r="E483" s="66"/>
      <c r="F483" s="67"/>
    </row>
    <row r="484">
      <c r="A484" s="66"/>
      <c r="B484" s="66"/>
      <c r="C484" s="66"/>
      <c r="D484" s="66"/>
      <c r="E484" s="66"/>
      <c r="F484" s="67"/>
    </row>
    <row r="485">
      <c r="A485" s="66"/>
      <c r="B485" s="66"/>
      <c r="C485" s="66"/>
      <c r="D485" s="66"/>
      <c r="E485" s="66"/>
      <c r="F485" s="67"/>
    </row>
    <row r="486">
      <c r="A486" s="66"/>
      <c r="B486" s="66"/>
      <c r="C486" s="66"/>
      <c r="D486" s="66"/>
      <c r="E486" s="66"/>
      <c r="F486" s="67"/>
    </row>
    <row r="487">
      <c r="A487" s="66"/>
      <c r="B487" s="66"/>
      <c r="C487" s="66"/>
      <c r="D487" s="66"/>
      <c r="E487" s="66"/>
      <c r="F487" s="67"/>
    </row>
    <row r="488">
      <c r="A488" s="66"/>
      <c r="B488" s="66"/>
      <c r="C488" s="66"/>
      <c r="D488" s="66"/>
      <c r="E488" s="66"/>
      <c r="F488" s="67"/>
    </row>
    <row r="489">
      <c r="A489" s="66"/>
      <c r="B489" s="66"/>
      <c r="C489" s="66"/>
      <c r="D489" s="66"/>
      <c r="E489" s="66"/>
      <c r="F489" s="67"/>
    </row>
    <row r="490">
      <c r="A490" s="66"/>
      <c r="B490" s="66"/>
      <c r="C490" s="66"/>
      <c r="D490" s="66"/>
      <c r="E490" s="66"/>
      <c r="F490" s="67"/>
    </row>
    <row r="491">
      <c r="A491" s="66"/>
      <c r="B491" s="66"/>
      <c r="C491" s="66"/>
      <c r="D491" s="66"/>
      <c r="E491" s="66"/>
      <c r="F491" s="67"/>
    </row>
    <row r="492">
      <c r="A492" s="66"/>
      <c r="B492" s="66"/>
      <c r="C492" s="66"/>
      <c r="D492" s="66"/>
      <c r="E492" s="66"/>
      <c r="F492" s="67"/>
    </row>
    <row r="493">
      <c r="A493" s="66"/>
      <c r="B493" s="66"/>
      <c r="C493" s="66"/>
      <c r="D493" s="66"/>
      <c r="E493" s="66"/>
      <c r="F493" s="67"/>
    </row>
    <row r="494">
      <c r="A494" s="66"/>
      <c r="B494" s="66"/>
      <c r="C494" s="66"/>
      <c r="D494" s="66"/>
      <c r="E494" s="66"/>
      <c r="F494" s="67"/>
    </row>
    <row r="495">
      <c r="A495" s="66"/>
      <c r="B495" s="66"/>
      <c r="C495" s="66"/>
      <c r="D495" s="66"/>
      <c r="E495" s="66"/>
      <c r="F495" s="67"/>
    </row>
    <row r="496">
      <c r="A496" s="66"/>
      <c r="B496" s="66"/>
      <c r="C496" s="66"/>
      <c r="D496" s="66"/>
      <c r="E496" s="66"/>
      <c r="F496" s="67"/>
    </row>
    <row r="497">
      <c r="A497" s="66"/>
      <c r="B497" s="66"/>
      <c r="C497" s="66"/>
      <c r="D497" s="66"/>
      <c r="E497" s="66"/>
      <c r="F497" s="67"/>
    </row>
    <row r="498">
      <c r="A498" s="66"/>
      <c r="B498" s="66"/>
      <c r="C498" s="66"/>
      <c r="D498" s="66"/>
      <c r="E498" s="66"/>
      <c r="F498" s="67"/>
    </row>
    <row r="499">
      <c r="A499" s="66"/>
      <c r="B499" s="66"/>
      <c r="C499" s="66"/>
      <c r="D499" s="66"/>
      <c r="E499" s="66"/>
      <c r="F499" s="67"/>
    </row>
    <row r="500">
      <c r="A500" s="66"/>
      <c r="B500" s="66"/>
      <c r="C500" s="66"/>
      <c r="D500" s="66"/>
      <c r="E500" s="66"/>
      <c r="F500" s="67"/>
    </row>
    <row r="501">
      <c r="A501" s="66"/>
      <c r="B501" s="66"/>
      <c r="C501" s="66"/>
      <c r="D501" s="66"/>
      <c r="E501" s="66"/>
      <c r="F501" s="67"/>
    </row>
    <row r="502">
      <c r="A502" s="66"/>
      <c r="B502" s="66"/>
      <c r="C502" s="66"/>
      <c r="D502" s="66"/>
      <c r="E502" s="66"/>
      <c r="F502" s="67"/>
    </row>
    <row r="503">
      <c r="A503" s="66"/>
      <c r="B503" s="66"/>
      <c r="C503" s="66"/>
      <c r="D503" s="66"/>
      <c r="E503" s="66"/>
      <c r="F503" s="67"/>
    </row>
    <row r="504">
      <c r="A504" s="66"/>
      <c r="B504" s="66"/>
      <c r="C504" s="66"/>
      <c r="D504" s="66"/>
      <c r="E504" s="66"/>
      <c r="F504" s="67"/>
    </row>
    <row r="505">
      <c r="A505" s="66"/>
      <c r="B505" s="66"/>
      <c r="C505" s="66"/>
      <c r="D505" s="66"/>
      <c r="E505" s="66"/>
      <c r="F505" s="67"/>
    </row>
    <row r="506">
      <c r="A506" s="66"/>
      <c r="B506" s="66"/>
      <c r="C506" s="66"/>
      <c r="D506" s="66"/>
      <c r="E506" s="66"/>
      <c r="F506" s="67"/>
    </row>
    <row r="507">
      <c r="A507" s="66"/>
      <c r="B507" s="66"/>
      <c r="C507" s="66"/>
      <c r="D507" s="66"/>
      <c r="E507" s="66"/>
      <c r="F507" s="67"/>
    </row>
    <row r="508">
      <c r="A508" s="66"/>
      <c r="B508" s="66"/>
      <c r="C508" s="66"/>
      <c r="D508" s="66"/>
      <c r="E508" s="66"/>
      <c r="F508" s="67"/>
    </row>
    <row r="509">
      <c r="A509" s="66"/>
      <c r="B509" s="66"/>
      <c r="C509" s="66"/>
      <c r="D509" s="66"/>
      <c r="E509" s="66"/>
      <c r="F509" s="67"/>
    </row>
    <row r="510">
      <c r="A510" s="66"/>
      <c r="B510" s="66"/>
      <c r="C510" s="66"/>
      <c r="D510" s="66"/>
      <c r="E510" s="66"/>
      <c r="F510" s="67"/>
    </row>
    <row r="511">
      <c r="A511" s="66"/>
      <c r="B511" s="66"/>
      <c r="C511" s="66"/>
      <c r="D511" s="66"/>
      <c r="E511" s="66"/>
      <c r="F511" s="67"/>
    </row>
    <row r="512">
      <c r="A512" s="66"/>
      <c r="B512" s="66"/>
      <c r="C512" s="66"/>
      <c r="D512" s="66"/>
      <c r="E512" s="66"/>
      <c r="F512" s="67"/>
    </row>
    <row r="513">
      <c r="A513" s="66"/>
      <c r="B513" s="66"/>
      <c r="C513" s="66"/>
      <c r="D513" s="66"/>
      <c r="E513" s="66"/>
      <c r="F513" s="67"/>
    </row>
    <row r="514">
      <c r="A514" s="66"/>
      <c r="B514" s="66"/>
      <c r="C514" s="66"/>
      <c r="D514" s="66"/>
      <c r="E514" s="66"/>
      <c r="F514" s="67"/>
    </row>
    <row r="515">
      <c r="A515" s="66"/>
      <c r="B515" s="66"/>
      <c r="C515" s="66"/>
      <c r="D515" s="66"/>
      <c r="E515" s="66"/>
      <c r="F515" s="67"/>
    </row>
    <row r="516">
      <c r="A516" s="66"/>
      <c r="B516" s="66"/>
      <c r="C516" s="66"/>
      <c r="D516" s="66"/>
      <c r="E516" s="66"/>
      <c r="F516" s="67"/>
    </row>
    <row r="517">
      <c r="A517" s="66"/>
      <c r="B517" s="66"/>
      <c r="C517" s="66"/>
      <c r="D517" s="66"/>
      <c r="E517" s="66"/>
      <c r="F517" s="67"/>
    </row>
    <row r="518">
      <c r="A518" s="66"/>
      <c r="B518" s="66"/>
      <c r="C518" s="66"/>
      <c r="D518" s="66"/>
      <c r="E518" s="66"/>
      <c r="F518" s="67"/>
    </row>
    <row r="519">
      <c r="A519" s="66"/>
      <c r="B519" s="66"/>
      <c r="C519" s="66"/>
      <c r="D519" s="66"/>
      <c r="E519" s="66"/>
      <c r="F519" s="67"/>
    </row>
    <row r="520">
      <c r="A520" s="66"/>
      <c r="B520" s="66"/>
      <c r="C520" s="66"/>
      <c r="D520" s="66"/>
      <c r="E520" s="66"/>
      <c r="F520" s="67"/>
    </row>
    <row r="521">
      <c r="A521" s="66"/>
      <c r="B521" s="66"/>
      <c r="C521" s="66"/>
      <c r="D521" s="66"/>
      <c r="E521" s="66"/>
      <c r="F521" s="67"/>
    </row>
    <row r="522">
      <c r="A522" s="66"/>
      <c r="B522" s="66"/>
      <c r="C522" s="66"/>
      <c r="D522" s="66"/>
      <c r="E522" s="66"/>
      <c r="F522" s="67"/>
    </row>
    <row r="523">
      <c r="A523" s="66"/>
      <c r="B523" s="66"/>
      <c r="C523" s="66"/>
      <c r="D523" s="66"/>
      <c r="E523" s="66"/>
      <c r="F523" s="67"/>
    </row>
    <row r="524">
      <c r="A524" s="66"/>
      <c r="B524" s="66"/>
      <c r="C524" s="66"/>
      <c r="D524" s="66"/>
      <c r="E524" s="66"/>
      <c r="F524" s="67"/>
    </row>
    <row r="525">
      <c r="A525" s="66"/>
      <c r="B525" s="66"/>
      <c r="C525" s="66"/>
      <c r="D525" s="66"/>
      <c r="E525" s="66"/>
      <c r="F525" s="67"/>
    </row>
    <row r="526">
      <c r="A526" s="66"/>
      <c r="B526" s="66"/>
      <c r="C526" s="66"/>
      <c r="D526" s="66"/>
      <c r="E526" s="66"/>
      <c r="F526" s="67"/>
    </row>
    <row r="527">
      <c r="A527" s="66"/>
      <c r="B527" s="66"/>
      <c r="C527" s="66"/>
      <c r="D527" s="66"/>
      <c r="E527" s="66"/>
      <c r="F527" s="67"/>
    </row>
    <row r="528">
      <c r="A528" s="66"/>
      <c r="B528" s="66"/>
      <c r="C528" s="66"/>
      <c r="D528" s="66"/>
      <c r="E528" s="66"/>
      <c r="F528" s="67"/>
    </row>
    <row r="529">
      <c r="A529" s="66"/>
      <c r="B529" s="66"/>
      <c r="C529" s="66"/>
      <c r="D529" s="66"/>
      <c r="E529" s="66"/>
      <c r="F529" s="67"/>
    </row>
    <row r="530">
      <c r="A530" s="66"/>
      <c r="B530" s="66"/>
      <c r="C530" s="66"/>
      <c r="D530" s="66"/>
      <c r="E530" s="66"/>
      <c r="F530" s="67"/>
    </row>
    <row r="531">
      <c r="A531" s="66"/>
      <c r="B531" s="66"/>
      <c r="C531" s="66"/>
      <c r="D531" s="66"/>
      <c r="E531" s="66"/>
      <c r="F531" s="67"/>
    </row>
    <row r="532">
      <c r="A532" s="66"/>
      <c r="B532" s="66"/>
      <c r="C532" s="66"/>
      <c r="D532" s="66"/>
      <c r="E532" s="66"/>
      <c r="F532" s="67"/>
    </row>
    <row r="533">
      <c r="A533" s="66"/>
      <c r="B533" s="66"/>
      <c r="C533" s="66"/>
      <c r="D533" s="66"/>
      <c r="E533" s="66"/>
      <c r="F533" s="67"/>
    </row>
    <row r="534">
      <c r="A534" s="66"/>
      <c r="B534" s="66"/>
      <c r="C534" s="66"/>
      <c r="D534" s="66"/>
      <c r="E534" s="66"/>
      <c r="F534" s="67"/>
    </row>
    <row r="535">
      <c r="A535" s="66"/>
      <c r="B535" s="66"/>
      <c r="C535" s="66"/>
      <c r="D535" s="66"/>
      <c r="E535" s="66"/>
      <c r="F535" s="67"/>
    </row>
    <row r="536">
      <c r="A536" s="66"/>
      <c r="B536" s="66"/>
      <c r="C536" s="66"/>
      <c r="D536" s="66"/>
      <c r="E536" s="66"/>
      <c r="F536" s="67"/>
    </row>
    <row r="537">
      <c r="A537" s="66"/>
      <c r="B537" s="66"/>
      <c r="C537" s="66"/>
      <c r="D537" s="66"/>
      <c r="E537" s="66"/>
      <c r="F537" s="67"/>
    </row>
    <row r="538">
      <c r="A538" s="66"/>
      <c r="B538" s="66"/>
      <c r="C538" s="66"/>
      <c r="D538" s="66"/>
      <c r="E538" s="66"/>
      <c r="F538" s="67"/>
    </row>
    <row r="539">
      <c r="A539" s="66"/>
      <c r="B539" s="66"/>
      <c r="C539" s="66"/>
      <c r="D539" s="66"/>
      <c r="E539" s="66"/>
      <c r="F539" s="67"/>
    </row>
    <row r="540">
      <c r="A540" s="66"/>
      <c r="B540" s="66"/>
      <c r="C540" s="66"/>
      <c r="D540" s="66"/>
      <c r="E540" s="66"/>
      <c r="F540" s="67"/>
    </row>
    <row r="541">
      <c r="A541" s="66"/>
      <c r="B541" s="66"/>
      <c r="C541" s="66"/>
      <c r="D541" s="66"/>
      <c r="E541" s="66"/>
      <c r="F541" s="67"/>
    </row>
    <row r="542">
      <c r="A542" s="66"/>
      <c r="B542" s="66"/>
      <c r="C542" s="66"/>
      <c r="D542" s="66"/>
      <c r="E542" s="66"/>
      <c r="F542" s="67"/>
    </row>
    <row r="543">
      <c r="A543" s="66"/>
      <c r="B543" s="66"/>
      <c r="C543" s="66"/>
      <c r="D543" s="66"/>
      <c r="E543" s="66"/>
      <c r="F543" s="67"/>
    </row>
    <row r="544">
      <c r="A544" s="66"/>
      <c r="B544" s="66"/>
      <c r="C544" s="66"/>
      <c r="D544" s="66"/>
      <c r="E544" s="66"/>
      <c r="F544" s="67"/>
    </row>
    <row r="545">
      <c r="A545" s="66"/>
      <c r="B545" s="66"/>
      <c r="C545" s="66"/>
      <c r="D545" s="66"/>
      <c r="E545" s="66"/>
      <c r="F545" s="67"/>
    </row>
    <row r="546">
      <c r="A546" s="66"/>
      <c r="B546" s="66"/>
      <c r="C546" s="66"/>
      <c r="D546" s="66"/>
      <c r="E546" s="66"/>
      <c r="F546" s="67"/>
    </row>
    <row r="547">
      <c r="A547" s="66"/>
      <c r="B547" s="66"/>
      <c r="C547" s="66"/>
      <c r="D547" s="66"/>
      <c r="E547" s="66"/>
      <c r="F547" s="67"/>
    </row>
    <row r="548">
      <c r="A548" s="66"/>
      <c r="B548" s="66"/>
      <c r="C548" s="66"/>
      <c r="D548" s="66"/>
      <c r="E548" s="66"/>
      <c r="F548" s="67"/>
    </row>
    <row r="549">
      <c r="A549" s="66"/>
      <c r="B549" s="66"/>
      <c r="C549" s="66"/>
      <c r="D549" s="66"/>
      <c r="E549" s="66"/>
      <c r="F549" s="67"/>
    </row>
    <row r="550">
      <c r="A550" s="66"/>
      <c r="B550" s="66"/>
      <c r="C550" s="66"/>
      <c r="D550" s="66"/>
      <c r="E550" s="66"/>
      <c r="F550" s="67"/>
    </row>
    <row r="551">
      <c r="A551" s="66"/>
      <c r="B551" s="66"/>
      <c r="C551" s="66"/>
      <c r="D551" s="66"/>
      <c r="E551" s="66"/>
      <c r="F551" s="67"/>
    </row>
    <row r="552">
      <c r="A552" s="66"/>
      <c r="B552" s="66"/>
      <c r="C552" s="66"/>
      <c r="D552" s="66"/>
      <c r="E552" s="66"/>
      <c r="F552" s="67"/>
    </row>
    <row r="553">
      <c r="A553" s="66"/>
      <c r="B553" s="66"/>
      <c r="C553" s="66"/>
      <c r="D553" s="66"/>
      <c r="E553" s="66"/>
      <c r="F553" s="67"/>
    </row>
    <row r="554">
      <c r="A554" s="66"/>
      <c r="B554" s="66"/>
      <c r="C554" s="66"/>
      <c r="D554" s="66"/>
      <c r="E554" s="66"/>
      <c r="F554" s="67"/>
    </row>
    <row r="555">
      <c r="A555" s="66"/>
      <c r="B555" s="66"/>
      <c r="C555" s="66"/>
      <c r="D555" s="66"/>
      <c r="E555" s="66"/>
      <c r="F555" s="67"/>
    </row>
    <row r="556">
      <c r="A556" s="66"/>
      <c r="B556" s="66"/>
      <c r="C556" s="66"/>
      <c r="D556" s="66"/>
      <c r="E556" s="66"/>
      <c r="F556" s="67"/>
    </row>
    <row r="557">
      <c r="A557" s="66"/>
      <c r="B557" s="66"/>
      <c r="C557" s="66"/>
      <c r="D557" s="66"/>
      <c r="E557" s="66"/>
      <c r="F557" s="67"/>
    </row>
    <row r="558">
      <c r="A558" s="66"/>
      <c r="B558" s="66"/>
      <c r="C558" s="66"/>
      <c r="D558" s="66"/>
      <c r="E558" s="66"/>
      <c r="F558" s="67"/>
    </row>
    <row r="559">
      <c r="A559" s="66"/>
      <c r="B559" s="66"/>
      <c r="C559" s="66"/>
      <c r="D559" s="66"/>
      <c r="E559" s="66"/>
      <c r="F559" s="67"/>
    </row>
    <row r="560">
      <c r="A560" s="66"/>
      <c r="B560" s="66"/>
      <c r="C560" s="66"/>
      <c r="D560" s="66"/>
      <c r="E560" s="66"/>
      <c r="F560" s="67"/>
    </row>
    <row r="561">
      <c r="A561" s="66"/>
      <c r="B561" s="66"/>
      <c r="C561" s="66"/>
      <c r="D561" s="66"/>
      <c r="E561" s="66"/>
      <c r="F561" s="67"/>
    </row>
    <row r="562">
      <c r="A562" s="66"/>
      <c r="B562" s="66"/>
      <c r="C562" s="66"/>
      <c r="D562" s="66"/>
      <c r="E562" s="66"/>
      <c r="F562" s="67"/>
    </row>
    <row r="563">
      <c r="A563" s="66"/>
      <c r="B563" s="66"/>
      <c r="C563" s="66"/>
      <c r="D563" s="66"/>
      <c r="E563" s="66"/>
      <c r="F563" s="67"/>
    </row>
    <row r="564">
      <c r="A564" s="66"/>
      <c r="B564" s="66"/>
      <c r="C564" s="66"/>
      <c r="D564" s="66"/>
      <c r="E564" s="66"/>
      <c r="F564" s="67"/>
    </row>
    <row r="565">
      <c r="A565" s="66"/>
      <c r="B565" s="66"/>
      <c r="C565" s="66"/>
      <c r="D565" s="66"/>
      <c r="E565" s="66"/>
      <c r="F565" s="67"/>
    </row>
    <row r="566">
      <c r="A566" s="66"/>
      <c r="B566" s="66"/>
      <c r="C566" s="66"/>
      <c r="D566" s="66"/>
      <c r="E566" s="66"/>
      <c r="F566" s="67"/>
    </row>
    <row r="567">
      <c r="A567" s="66"/>
      <c r="B567" s="66"/>
      <c r="C567" s="66"/>
      <c r="D567" s="66"/>
      <c r="E567" s="66"/>
      <c r="F567" s="67"/>
    </row>
    <row r="568">
      <c r="A568" s="66"/>
      <c r="B568" s="66"/>
      <c r="C568" s="66"/>
      <c r="D568" s="66"/>
      <c r="E568" s="66"/>
      <c r="F568" s="67"/>
    </row>
    <row r="569">
      <c r="A569" s="66"/>
      <c r="B569" s="66"/>
      <c r="C569" s="66"/>
      <c r="D569" s="66"/>
      <c r="E569" s="66"/>
      <c r="F569" s="67"/>
    </row>
    <row r="570">
      <c r="A570" s="66"/>
      <c r="B570" s="66"/>
      <c r="C570" s="66"/>
      <c r="D570" s="66"/>
      <c r="E570" s="66"/>
      <c r="F570" s="67"/>
    </row>
    <row r="571">
      <c r="A571" s="66"/>
      <c r="B571" s="66"/>
      <c r="C571" s="66"/>
      <c r="D571" s="66"/>
      <c r="E571" s="66"/>
      <c r="F571" s="67"/>
    </row>
    <row r="572">
      <c r="A572" s="66"/>
      <c r="B572" s="66"/>
      <c r="C572" s="66"/>
      <c r="D572" s="66"/>
      <c r="E572" s="66"/>
      <c r="F572" s="67"/>
    </row>
    <row r="573">
      <c r="A573" s="66"/>
      <c r="B573" s="66"/>
      <c r="C573" s="66"/>
      <c r="D573" s="66"/>
      <c r="E573" s="66"/>
      <c r="F573" s="67"/>
    </row>
    <row r="574">
      <c r="A574" s="66"/>
      <c r="B574" s="66"/>
      <c r="C574" s="66"/>
      <c r="D574" s="66"/>
      <c r="E574" s="66"/>
      <c r="F574" s="67"/>
    </row>
    <row r="575">
      <c r="A575" s="66"/>
      <c r="B575" s="66"/>
      <c r="C575" s="66"/>
      <c r="D575" s="66"/>
      <c r="E575" s="66"/>
      <c r="F575" s="67"/>
    </row>
    <row r="576">
      <c r="A576" s="66"/>
      <c r="B576" s="66"/>
      <c r="C576" s="66"/>
      <c r="D576" s="66"/>
      <c r="E576" s="66"/>
      <c r="F576" s="67"/>
    </row>
    <row r="577">
      <c r="A577" s="66"/>
      <c r="B577" s="66"/>
      <c r="C577" s="66"/>
      <c r="D577" s="66"/>
      <c r="E577" s="66"/>
      <c r="F577" s="67"/>
    </row>
    <row r="578">
      <c r="A578" s="66"/>
      <c r="B578" s="66"/>
      <c r="C578" s="66"/>
      <c r="D578" s="66"/>
      <c r="E578" s="66"/>
      <c r="F578" s="67"/>
    </row>
    <row r="579">
      <c r="A579" s="66"/>
      <c r="B579" s="66"/>
      <c r="C579" s="66"/>
      <c r="D579" s="66"/>
      <c r="E579" s="66"/>
      <c r="F579" s="67"/>
    </row>
    <row r="580">
      <c r="A580" s="66"/>
      <c r="B580" s="66"/>
      <c r="C580" s="66"/>
      <c r="D580" s="66"/>
      <c r="E580" s="66"/>
      <c r="F580" s="67"/>
    </row>
    <row r="581">
      <c r="A581" s="66"/>
      <c r="B581" s="66"/>
      <c r="C581" s="66"/>
      <c r="D581" s="66"/>
      <c r="E581" s="66"/>
      <c r="F581" s="67"/>
    </row>
    <row r="582">
      <c r="A582" s="66"/>
      <c r="B582" s="66"/>
      <c r="C582" s="66"/>
      <c r="D582" s="66"/>
      <c r="E582" s="66"/>
      <c r="F582" s="67"/>
    </row>
    <row r="583">
      <c r="A583" s="66"/>
      <c r="B583" s="66"/>
      <c r="C583" s="66"/>
      <c r="D583" s="66"/>
      <c r="E583" s="66"/>
      <c r="F583" s="67"/>
    </row>
    <row r="584">
      <c r="A584" s="66"/>
      <c r="B584" s="66"/>
      <c r="C584" s="66"/>
      <c r="D584" s="66"/>
      <c r="E584" s="66"/>
      <c r="F584" s="67"/>
    </row>
    <row r="585">
      <c r="A585" s="66"/>
      <c r="B585" s="66"/>
      <c r="C585" s="66"/>
      <c r="D585" s="66"/>
      <c r="E585" s="66"/>
      <c r="F585" s="67"/>
    </row>
    <row r="586">
      <c r="A586" s="66"/>
      <c r="B586" s="66"/>
      <c r="C586" s="66"/>
      <c r="D586" s="66"/>
      <c r="E586" s="66"/>
      <c r="F586" s="67"/>
    </row>
    <row r="587">
      <c r="A587" s="66"/>
      <c r="B587" s="66"/>
      <c r="C587" s="66"/>
      <c r="D587" s="66"/>
      <c r="E587" s="66"/>
      <c r="F587" s="67"/>
    </row>
    <row r="588">
      <c r="A588" s="66"/>
      <c r="B588" s="66"/>
      <c r="C588" s="66"/>
      <c r="D588" s="66"/>
      <c r="E588" s="66"/>
      <c r="F588" s="67"/>
    </row>
    <row r="589">
      <c r="A589" s="66"/>
      <c r="B589" s="66"/>
      <c r="C589" s="66"/>
      <c r="D589" s="66"/>
      <c r="E589" s="66"/>
      <c r="F589" s="67"/>
    </row>
    <row r="590">
      <c r="A590" s="66"/>
      <c r="B590" s="66"/>
      <c r="C590" s="66"/>
      <c r="D590" s="66"/>
      <c r="E590" s="66"/>
      <c r="F590" s="67"/>
    </row>
    <row r="591">
      <c r="A591" s="66"/>
      <c r="B591" s="66"/>
      <c r="C591" s="66"/>
      <c r="D591" s="66"/>
      <c r="E591" s="66"/>
      <c r="F591" s="67"/>
    </row>
    <row r="592">
      <c r="A592" s="66"/>
      <c r="B592" s="66"/>
      <c r="C592" s="66"/>
      <c r="D592" s="66"/>
      <c r="E592" s="66"/>
      <c r="F592" s="67"/>
    </row>
    <row r="593">
      <c r="A593" s="66"/>
      <c r="B593" s="66"/>
      <c r="C593" s="66"/>
      <c r="D593" s="66"/>
      <c r="E593" s="66"/>
      <c r="F593" s="67"/>
    </row>
    <row r="594">
      <c r="A594" s="66"/>
      <c r="B594" s="66"/>
      <c r="C594" s="66"/>
      <c r="D594" s="66"/>
      <c r="E594" s="66"/>
      <c r="F594" s="67"/>
    </row>
    <row r="595">
      <c r="A595" s="66"/>
      <c r="B595" s="66"/>
      <c r="C595" s="66"/>
      <c r="D595" s="66"/>
      <c r="E595" s="66"/>
      <c r="F595" s="67"/>
    </row>
    <row r="596">
      <c r="A596" s="66"/>
      <c r="B596" s="66"/>
      <c r="C596" s="66"/>
      <c r="D596" s="66"/>
      <c r="E596" s="66"/>
      <c r="F596" s="67"/>
    </row>
    <row r="597">
      <c r="A597" s="66"/>
      <c r="B597" s="66"/>
      <c r="C597" s="66"/>
      <c r="D597" s="66"/>
      <c r="E597" s="66"/>
      <c r="F597" s="67"/>
    </row>
    <row r="598">
      <c r="A598" s="66"/>
      <c r="B598" s="66"/>
      <c r="C598" s="66"/>
      <c r="D598" s="66"/>
      <c r="E598" s="66"/>
      <c r="F598" s="67"/>
    </row>
    <row r="599">
      <c r="A599" s="66"/>
      <c r="B599" s="66"/>
      <c r="C599" s="66"/>
      <c r="D599" s="66"/>
      <c r="E599" s="66"/>
      <c r="F599" s="67"/>
    </row>
    <row r="600">
      <c r="A600" s="66"/>
      <c r="B600" s="66"/>
      <c r="C600" s="66"/>
      <c r="D600" s="66"/>
      <c r="E600" s="66"/>
      <c r="F600" s="67"/>
    </row>
    <row r="601">
      <c r="A601" s="66"/>
      <c r="B601" s="66"/>
      <c r="C601" s="66"/>
      <c r="D601" s="66"/>
      <c r="E601" s="66"/>
      <c r="F601" s="67"/>
    </row>
    <row r="602">
      <c r="A602" s="66"/>
      <c r="B602" s="66"/>
      <c r="C602" s="66"/>
      <c r="D602" s="66"/>
      <c r="E602" s="66"/>
      <c r="F602" s="67"/>
    </row>
    <row r="603">
      <c r="A603" s="66"/>
      <c r="B603" s="66"/>
      <c r="C603" s="66"/>
      <c r="D603" s="66"/>
      <c r="E603" s="66"/>
      <c r="F603" s="67"/>
    </row>
    <row r="604">
      <c r="A604" s="66"/>
      <c r="B604" s="66"/>
      <c r="C604" s="66"/>
      <c r="D604" s="66"/>
      <c r="E604" s="66"/>
      <c r="F604" s="67"/>
    </row>
    <row r="605">
      <c r="A605" s="66"/>
      <c r="B605" s="66"/>
      <c r="C605" s="66"/>
      <c r="D605" s="66"/>
      <c r="E605" s="66"/>
      <c r="F605" s="67"/>
    </row>
    <row r="606">
      <c r="A606" s="66"/>
      <c r="B606" s="66"/>
      <c r="C606" s="66"/>
      <c r="D606" s="66"/>
      <c r="E606" s="66"/>
      <c r="F606" s="67"/>
    </row>
    <row r="607">
      <c r="A607" s="66"/>
      <c r="B607" s="66"/>
      <c r="C607" s="66"/>
      <c r="D607" s="66"/>
      <c r="E607" s="66"/>
      <c r="F607" s="67"/>
    </row>
    <row r="608">
      <c r="A608" s="66"/>
      <c r="B608" s="66"/>
      <c r="C608" s="66"/>
      <c r="D608" s="66"/>
      <c r="E608" s="66"/>
      <c r="F608" s="67"/>
    </row>
    <row r="609">
      <c r="A609" s="66"/>
      <c r="B609" s="66"/>
      <c r="C609" s="66"/>
      <c r="D609" s="66"/>
      <c r="E609" s="66"/>
      <c r="F609" s="67"/>
    </row>
    <row r="610">
      <c r="A610" s="66"/>
      <c r="B610" s="66"/>
      <c r="C610" s="66"/>
      <c r="D610" s="66"/>
      <c r="E610" s="66"/>
      <c r="F610" s="67"/>
    </row>
    <row r="611">
      <c r="A611" s="66"/>
      <c r="B611" s="66"/>
      <c r="C611" s="66"/>
      <c r="D611" s="66"/>
      <c r="E611" s="66"/>
      <c r="F611" s="67"/>
    </row>
    <row r="612">
      <c r="A612" s="66"/>
      <c r="B612" s="66"/>
      <c r="C612" s="66"/>
      <c r="D612" s="66"/>
      <c r="E612" s="66"/>
      <c r="F612" s="67"/>
    </row>
    <row r="613">
      <c r="A613" s="66"/>
      <c r="B613" s="66"/>
      <c r="C613" s="66"/>
      <c r="D613" s="66"/>
      <c r="E613" s="66"/>
      <c r="F613" s="67"/>
    </row>
    <row r="614">
      <c r="A614" s="66"/>
      <c r="B614" s="66"/>
      <c r="C614" s="66"/>
      <c r="D614" s="66"/>
      <c r="E614" s="66"/>
      <c r="F614" s="67"/>
    </row>
    <row r="615">
      <c r="A615" s="66"/>
      <c r="B615" s="66"/>
      <c r="C615" s="66"/>
      <c r="D615" s="66"/>
      <c r="E615" s="66"/>
      <c r="F615" s="67"/>
    </row>
    <row r="616">
      <c r="A616" s="66"/>
      <c r="B616" s="66"/>
      <c r="C616" s="66"/>
      <c r="D616" s="66"/>
      <c r="E616" s="66"/>
      <c r="F616" s="67"/>
    </row>
    <row r="617">
      <c r="A617" s="66"/>
      <c r="B617" s="66"/>
      <c r="C617" s="66"/>
      <c r="D617" s="66"/>
      <c r="E617" s="66"/>
      <c r="F617" s="67"/>
    </row>
    <row r="618">
      <c r="A618" s="66"/>
      <c r="B618" s="66"/>
      <c r="C618" s="66"/>
      <c r="D618" s="66"/>
      <c r="E618" s="66"/>
      <c r="F618" s="67"/>
    </row>
    <row r="619">
      <c r="A619" s="66"/>
      <c r="B619" s="66"/>
      <c r="C619" s="66"/>
      <c r="D619" s="66"/>
      <c r="E619" s="66"/>
      <c r="F619" s="67"/>
    </row>
    <row r="620">
      <c r="A620" s="66"/>
      <c r="B620" s="66"/>
      <c r="C620" s="66"/>
      <c r="D620" s="66"/>
      <c r="E620" s="66"/>
      <c r="F620" s="67"/>
    </row>
    <row r="621">
      <c r="A621" s="66"/>
      <c r="B621" s="66"/>
      <c r="C621" s="66"/>
      <c r="D621" s="66"/>
      <c r="E621" s="66"/>
      <c r="F621" s="67"/>
    </row>
    <row r="622">
      <c r="A622" s="66"/>
      <c r="B622" s="66"/>
      <c r="C622" s="66"/>
      <c r="D622" s="66"/>
      <c r="E622" s="66"/>
      <c r="F622" s="67"/>
    </row>
    <row r="623">
      <c r="A623" s="66"/>
      <c r="B623" s="66"/>
      <c r="C623" s="66"/>
      <c r="D623" s="66"/>
      <c r="E623" s="66"/>
      <c r="F623" s="67"/>
    </row>
    <row r="624">
      <c r="A624" s="66"/>
      <c r="B624" s="66"/>
      <c r="C624" s="66"/>
      <c r="D624" s="66"/>
      <c r="E624" s="66"/>
      <c r="F624" s="67"/>
    </row>
    <row r="625">
      <c r="A625" s="66"/>
      <c r="B625" s="66"/>
      <c r="C625" s="66"/>
      <c r="D625" s="66"/>
      <c r="E625" s="66"/>
      <c r="F625" s="67"/>
    </row>
    <row r="626">
      <c r="A626" s="66"/>
      <c r="B626" s="66"/>
      <c r="C626" s="66"/>
      <c r="D626" s="66"/>
      <c r="E626" s="66"/>
      <c r="F626" s="67"/>
    </row>
    <row r="627">
      <c r="A627" s="66"/>
      <c r="B627" s="66"/>
      <c r="C627" s="66"/>
      <c r="D627" s="66"/>
      <c r="E627" s="66"/>
      <c r="F627" s="67"/>
    </row>
    <row r="628">
      <c r="A628" s="66"/>
      <c r="B628" s="66"/>
      <c r="C628" s="66"/>
      <c r="D628" s="66"/>
      <c r="E628" s="66"/>
      <c r="F628" s="67"/>
    </row>
    <row r="629">
      <c r="A629" s="66"/>
      <c r="B629" s="66"/>
      <c r="C629" s="66"/>
      <c r="D629" s="66"/>
      <c r="E629" s="66"/>
      <c r="F629" s="67"/>
    </row>
    <row r="630">
      <c r="A630" s="66"/>
      <c r="B630" s="66"/>
      <c r="C630" s="66"/>
      <c r="D630" s="66"/>
      <c r="E630" s="66"/>
      <c r="F630" s="67"/>
    </row>
    <row r="631">
      <c r="A631" s="66"/>
      <c r="B631" s="66"/>
      <c r="C631" s="66"/>
      <c r="D631" s="66"/>
      <c r="E631" s="66"/>
      <c r="F631" s="67"/>
    </row>
    <row r="632">
      <c r="A632" s="66"/>
      <c r="B632" s="66"/>
      <c r="C632" s="66"/>
      <c r="D632" s="66"/>
      <c r="E632" s="66"/>
      <c r="F632" s="67"/>
    </row>
    <row r="633">
      <c r="A633" s="66"/>
      <c r="B633" s="66"/>
      <c r="C633" s="66"/>
      <c r="D633" s="66"/>
      <c r="E633" s="66"/>
      <c r="F633" s="67"/>
    </row>
    <row r="634">
      <c r="A634" s="66"/>
      <c r="B634" s="66"/>
      <c r="C634" s="66"/>
      <c r="D634" s="66"/>
      <c r="E634" s="66"/>
      <c r="F634" s="67"/>
    </row>
    <row r="635">
      <c r="A635" s="66"/>
      <c r="B635" s="66"/>
      <c r="C635" s="66"/>
      <c r="D635" s="66"/>
      <c r="E635" s="66"/>
      <c r="F635" s="67"/>
    </row>
    <row r="636">
      <c r="A636" s="66"/>
      <c r="B636" s="66"/>
      <c r="C636" s="66"/>
      <c r="D636" s="66"/>
      <c r="E636" s="66"/>
      <c r="F636" s="67"/>
    </row>
    <row r="637">
      <c r="A637" s="66"/>
      <c r="B637" s="66"/>
      <c r="C637" s="66"/>
      <c r="D637" s="66"/>
      <c r="E637" s="66"/>
      <c r="F637" s="67"/>
    </row>
    <row r="638">
      <c r="A638" s="66"/>
      <c r="B638" s="66"/>
      <c r="C638" s="66"/>
      <c r="D638" s="66"/>
      <c r="E638" s="66"/>
      <c r="F638" s="67"/>
    </row>
    <row r="639">
      <c r="A639" s="66"/>
      <c r="B639" s="66"/>
      <c r="C639" s="66"/>
      <c r="D639" s="66"/>
      <c r="E639" s="66"/>
      <c r="F639" s="67"/>
    </row>
    <row r="640">
      <c r="A640" s="66"/>
      <c r="B640" s="66"/>
      <c r="C640" s="66"/>
      <c r="D640" s="66"/>
      <c r="E640" s="66"/>
      <c r="F640" s="67"/>
    </row>
    <row r="641">
      <c r="A641" s="66"/>
      <c r="B641" s="66"/>
      <c r="C641" s="66"/>
      <c r="D641" s="66"/>
      <c r="E641" s="66"/>
      <c r="F641" s="67"/>
    </row>
    <row r="642">
      <c r="A642" s="66"/>
      <c r="B642" s="66"/>
      <c r="C642" s="66"/>
      <c r="D642" s="66"/>
      <c r="E642" s="66"/>
      <c r="F642" s="67"/>
    </row>
    <row r="643">
      <c r="A643" s="66"/>
      <c r="B643" s="66"/>
      <c r="C643" s="66"/>
      <c r="D643" s="66"/>
      <c r="E643" s="66"/>
      <c r="F643" s="67"/>
    </row>
    <row r="644">
      <c r="A644" s="66"/>
      <c r="B644" s="66"/>
      <c r="C644" s="66"/>
      <c r="D644" s="66"/>
      <c r="E644" s="66"/>
      <c r="F644" s="67"/>
    </row>
    <row r="645">
      <c r="A645" s="66"/>
      <c r="B645" s="66"/>
      <c r="C645" s="66"/>
      <c r="D645" s="66"/>
      <c r="E645" s="66"/>
      <c r="F645" s="67"/>
    </row>
    <row r="646">
      <c r="A646" s="66"/>
      <c r="B646" s="66"/>
      <c r="C646" s="66"/>
      <c r="D646" s="66"/>
      <c r="E646" s="66"/>
      <c r="F646" s="67"/>
    </row>
    <row r="647">
      <c r="A647" s="66"/>
      <c r="B647" s="66"/>
      <c r="C647" s="66"/>
      <c r="D647" s="66"/>
      <c r="E647" s="66"/>
      <c r="F647" s="67"/>
    </row>
    <row r="648">
      <c r="A648" s="66"/>
      <c r="B648" s="66"/>
      <c r="C648" s="66"/>
      <c r="D648" s="66"/>
      <c r="E648" s="66"/>
      <c r="F648" s="67"/>
    </row>
    <row r="649">
      <c r="A649" s="66"/>
      <c r="B649" s="66"/>
      <c r="C649" s="66"/>
      <c r="D649" s="66"/>
      <c r="E649" s="66"/>
      <c r="F649" s="67"/>
    </row>
    <row r="650">
      <c r="A650" s="66"/>
      <c r="B650" s="66"/>
      <c r="C650" s="66"/>
      <c r="D650" s="66"/>
      <c r="E650" s="66"/>
      <c r="F650" s="67"/>
    </row>
    <row r="651">
      <c r="A651" s="66"/>
      <c r="B651" s="66"/>
      <c r="C651" s="66"/>
      <c r="D651" s="66"/>
      <c r="E651" s="66"/>
      <c r="F651" s="67"/>
    </row>
    <row r="652">
      <c r="A652" s="66"/>
      <c r="B652" s="66"/>
      <c r="C652" s="66"/>
      <c r="D652" s="66"/>
      <c r="E652" s="66"/>
      <c r="F652" s="67"/>
    </row>
    <row r="653">
      <c r="A653" s="66"/>
      <c r="B653" s="66"/>
      <c r="C653" s="66"/>
      <c r="D653" s="66"/>
      <c r="E653" s="66"/>
      <c r="F653" s="67"/>
    </row>
    <row r="654">
      <c r="A654" s="66"/>
      <c r="B654" s="66"/>
      <c r="C654" s="66"/>
      <c r="D654" s="66"/>
      <c r="E654" s="66"/>
      <c r="F654" s="67"/>
    </row>
    <row r="655">
      <c r="A655" s="66"/>
      <c r="B655" s="66"/>
      <c r="C655" s="66"/>
      <c r="D655" s="66"/>
      <c r="E655" s="66"/>
      <c r="F655" s="67"/>
    </row>
    <row r="656">
      <c r="A656" s="66"/>
      <c r="B656" s="66"/>
      <c r="C656" s="66"/>
      <c r="D656" s="66"/>
      <c r="E656" s="66"/>
      <c r="F656" s="67"/>
    </row>
    <row r="657">
      <c r="A657" s="66"/>
      <c r="B657" s="66"/>
      <c r="C657" s="66"/>
      <c r="D657" s="66"/>
      <c r="E657" s="66"/>
      <c r="F657" s="67"/>
    </row>
    <row r="658">
      <c r="A658" s="66"/>
      <c r="B658" s="66"/>
      <c r="C658" s="66"/>
      <c r="D658" s="66"/>
      <c r="E658" s="66"/>
      <c r="F658" s="67"/>
    </row>
    <row r="659">
      <c r="A659" s="66"/>
      <c r="B659" s="66"/>
      <c r="C659" s="66"/>
      <c r="D659" s="66"/>
      <c r="E659" s="66"/>
      <c r="F659" s="67"/>
    </row>
    <row r="660">
      <c r="A660" s="66"/>
      <c r="B660" s="66"/>
      <c r="C660" s="66"/>
      <c r="D660" s="66"/>
      <c r="E660" s="66"/>
      <c r="F660" s="67"/>
    </row>
    <row r="661">
      <c r="A661" s="66"/>
      <c r="B661" s="66"/>
      <c r="C661" s="66"/>
      <c r="D661" s="66"/>
      <c r="E661" s="66"/>
      <c r="F661" s="67"/>
    </row>
    <row r="662">
      <c r="A662" s="66"/>
      <c r="B662" s="66"/>
      <c r="C662" s="66"/>
      <c r="D662" s="66"/>
      <c r="E662" s="66"/>
      <c r="F662" s="67"/>
    </row>
    <row r="663">
      <c r="A663" s="66"/>
      <c r="B663" s="66"/>
      <c r="C663" s="66"/>
      <c r="D663" s="66"/>
      <c r="E663" s="66"/>
      <c r="F663" s="67"/>
    </row>
    <row r="664">
      <c r="A664" s="66"/>
      <c r="B664" s="66"/>
      <c r="C664" s="66"/>
      <c r="D664" s="66"/>
      <c r="E664" s="66"/>
      <c r="F664" s="67"/>
    </row>
    <row r="665">
      <c r="A665" s="66"/>
      <c r="B665" s="66"/>
      <c r="C665" s="66"/>
      <c r="D665" s="66"/>
      <c r="E665" s="66"/>
      <c r="F665" s="67"/>
    </row>
    <row r="666">
      <c r="A666" s="66"/>
      <c r="B666" s="66"/>
      <c r="C666" s="66"/>
      <c r="D666" s="66"/>
      <c r="E666" s="66"/>
      <c r="F666" s="67"/>
    </row>
    <row r="667">
      <c r="A667" s="66"/>
      <c r="B667" s="66"/>
      <c r="C667" s="66"/>
      <c r="D667" s="66"/>
      <c r="E667" s="66"/>
      <c r="F667" s="67"/>
    </row>
    <row r="668">
      <c r="A668" s="66"/>
      <c r="B668" s="66"/>
      <c r="C668" s="66"/>
      <c r="D668" s="66"/>
      <c r="E668" s="66"/>
      <c r="F668" s="67"/>
    </row>
    <row r="669">
      <c r="A669" s="66"/>
      <c r="B669" s="66"/>
      <c r="C669" s="66"/>
      <c r="D669" s="66"/>
      <c r="E669" s="66"/>
      <c r="F669" s="67"/>
    </row>
    <row r="670">
      <c r="A670" s="66"/>
      <c r="B670" s="66"/>
      <c r="C670" s="66"/>
      <c r="D670" s="66"/>
      <c r="E670" s="66"/>
      <c r="F670" s="67"/>
    </row>
    <row r="671">
      <c r="A671" s="66"/>
      <c r="B671" s="66"/>
      <c r="C671" s="66"/>
      <c r="D671" s="66"/>
      <c r="E671" s="66"/>
      <c r="F671" s="67"/>
    </row>
    <row r="672">
      <c r="A672" s="66"/>
      <c r="B672" s="66"/>
      <c r="C672" s="66"/>
      <c r="D672" s="66"/>
      <c r="E672" s="66"/>
      <c r="F672" s="67"/>
    </row>
    <row r="673">
      <c r="A673" s="66"/>
      <c r="B673" s="66"/>
      <c r="C673" s="66"/>
      <c r="D673" s="66"/>
      <c r="E673" s="66"/>
      <c r="F673" s="67"/>
    </row>
    <row r="674">
      <c r="A674" s="66"/>
      <c r="B674" s="66"/>
      <c r="C674" s="66"/>
      <c r="D674" s="66"/>
      <c r="E674" s="66"/>
      <c r="F674" s="67"/>
    </row>
    <row r="675">
      <c r="A675" s="66"/>
      <c r="B675" s="66"/>
      <c r="C675" s="66"/>
      <c r="D675" s="66"/>
      <c r="E675" s="66"/>
      <c r="F675" s="67"/>
    </row>
    <row r="676">
      <c r="A676" s="66"/>
      <c r="B676" s="66"/>
      <c r="C676" s="66"/>
      <c r="D676" s="66"/>
      <c r="E676" s="66"/>
      <c r="F676" s="67"/>
    </row>
    <row r="677">
      <c r="A677" s="66"/>
      <c r="B677" s="66"/>
      <c r="C677" s="66"/>
      <c r="D677" s="66"/>
      <c r="E677" s="66"/>
      <c r="F677" s="67"/>
    </row>
    <row r="678">
      <c r="A678" s="66"/>
      <c r="B678" s="66"/>
      <c r="C678" s="66"/>
      <c r="D678" s="66"/>
      <c r="E678" s="66"/>
      <c r="F678" s="67"/>
    </row>
    <row r="679">
      <c r="A679" s="66"/>
      <c r="B679" s="66"/>
      <c r="C679" s="66"/>
      <c r="D679" s="66"/>
      <c r="E679" s="66"/>
      <c r="F679" s="67"/>
    </row>
    <row r="680">
      <c r="A680" s="66"/>
      <c r="B680" s="66"/>
      <c r="C680" s="66"/>
      <c r="D680" s="66"/>
      <c r="E680" s="66"/>
      <c r="F680" s="67"/>
    </row>
    <row r="681">
      <c r="A681" s="66"/>
      <c r="B681" s="66"/>
      <c r="C681" s="66"/>
      <c r="D681" s="66"/>
      <c r="E681" s="66"/>
      <c r="F681" s="67"/>
    </row>
    <row r="682">
      <c r="A682" s="66"/>
      <c r="B682" s="66"/>
      <c r="C682" s="66"/>
      <c r="D682" s="66"/>
      <c r="E682" s="66"/>
      <c r="F682" s="67"/>
    </row>
    <row r="683">
      <c r="A683" s="66"/>
      <c r="B683" s="66"/>
      <c r="C683" s="66"/>
      <c r="D683" s="66"/>
      <c r="E683" s="66"/>
      <c r="F683" s="67"/>
    </row>
    <row r="684">
      <c r="A684" s="66"/>
      <c r="B684" s="66"/>
      <c r="C684" s="66"/>
      <c r="D684" s="66"/>
      <c r="E684" s="66"/>
      <c r="F684" s="67"/>
    </row>
    <row r="685">
      <c r="A685" s="66"/>
      <c r="B685" s="66"/>
      <c r="C685" s="66"/>
      <c r="D685" s="66"/>
      <c r="E685" s="66"/>
      <c r="F685" s="67"/>
    </row>
    <row r="686">
      <c r="A686" s="66"/>
      <c r="B686" s="66"/>
      <c r="C686" s="66"/>
      <c r="D686" s="66"/>
      <c r="E686" s="66"/>
      <c r="F686" s="67"/>
    </row>
    <row r="687">
      <c r="A687" s="66"/>
      <c r="B687" s="66"/>
      <c r="C687" s="66"/>
      <c r="D687" s="66"/>
      <c r="E687" s="66"/>
      <c r="F687" s="67"/>
    </row>
    <row r="688">
      <c r="A688" s="66"/>
      <c r="B688" s="66"/>
      <c r="C688" s="66"/>
      <c r="D688" s="66"/>
      <c r="E688" s="66"/>
      <c r="F688" s="67"/>
    </row>
    <row r="689">
      <c r="A689" s="66"/>
      <c r="B689" s="66"/>
      <c r="C689" s="66"/>
      <c r="D689" s="66"/>
      <c r="E689" s="66"/>
      <c r="F689" s="67"/>
    </row>
    <row r="690">
      <c r="A690" s="66"/>
      <c r="B690" s="66"/>
      <c r="C690" s="66"/>
      <c r="D690" s="66"/>
      <c r="E690" s="66"/>
      <c r="F690" s="67"/>
    </row>
    <row r="691">
      <c r="A691" s="66"/>
      <c r="B691" s="66"/>
      <c r="C691" s="66"/>
      <c r="D691" s="66"/>
      <c r="E691" s="66"/>
      <c r="F691" s="67"/>
    </row>
    <row r="692">
      <c r="A692" s="66"/>
      <c r="B692" s="66"/>
      <c r="C692" s="66"/>
      <c r="D692" s="66"/>
      <c r="E692" s="66"/>
      <c r="F692" s="67"/>
    </row>
    <row r="693">
      <c r="A693" s="66"/>
      <c r="B693" s="66"/>
      <c r="C693" s="66"/>
      <c r="D693" s="66"/>
      <c r="E693" s="66"/>
      <c r="F693" s="67"/>
    </row>
    <row r="694">
      <c r="A694" s="66"/>
      <c r="B694" s="66"/>
      <c r="C694" s="66"/>
      <c r="D694" s="66"/>
      <c r="E694" s="66"/>
      <c r="F694" s="67"/>
    </row>
    <row r="695">
      <c r="A695" s="66"/>
      <c r="B695" s="66"/>
      <c r="C695" s="66"/>
      <c r="D695" s="66"/>
      <c r="E695" s="66"/>
      <c r="F695" s="67"/>
    </row>
    <row r="696">
      <c r="A696" s="66"/>
      <c r="B696" s="66"/>
      <c r="C696" s="66"/>
      <c r="D696" s="66"/>
      <c r="E696" s="66"/>
      <c r="F696" s="67"/>
    </row>
    <row r="697">
      <c r="A697" s="66"/>
      <c r="B697" s="66"/>
      <c r="C697" s="66"/>
      <c r="D697" s="66"/>
      <c r="E697" s="66"/>
      <c r="F697" s="67"/>
    </row>
    <row r="698">
      <c r="A698" s="66"/>
      <c r="B698" s="66"/>
      <c r="C698" s="66"/>
      <c r="D698" s="66"/>
      <c r="E698" s="66"/>
      <c r="F698" s="67"/>
    </row>
    <row r="699">
      <c r="A699" s="66"/>
      <c r="B699" s="66"/>
      <c r="C699" s="66"/>
      <c r="D699" s="66"/>
      <c r="E699" s="66"/>
      <c r="F699" s="67"/>
    </row>
    <row r="700">
      <c r="A700" s="66"/>
      <c r="B700" s="66"/>
      <c r="C700" s="66"/>
      <c r="D700" s="66"/>
      <c r="E700" s="66"/>
      <c r="F700" s="67"/>
    </row>
    <row r="701">
      <c r="A701" s="66"/>
      <c r="B701" s="66"/>
      <c r="C701" s="66"/>
      <c r="D701" s="66"/>
      <c r="E701" s="66"/>
      <c r="F701" s="67"/>
    </row>
    <row r="702">
      <c r="A702" s="66"/>
      <c r="B702" s="66"/>
      <c r="C702" s="66"/>
      <c r="D702" s="66"/>
      <c r="E702" s="66"/>
      <c r="F702" s="67"/>
    </row>
    <row r="703">
      <c r="A703" s="66"/>
      <c r="B703" s="66"/>
      <c r="C703" s="66"/>
      <c r="D703" s="66"/>
      <c r="E703" s="66"/>
      <c r="F703" s="67"/>
    </row>
    <row r="704">
      <c r="A704" s="66"/>
      <c r="B704" s="66"/>
      <c r="C704" s="66"/>
      <c r="D704" s="66"/>
      <c r="E704" s="66"/>
      <c r="F704" s="67"/>
    </row>
    <row r="705">
      <c r="A705" s="66"/>
      <c r="B705" s="66"/>
      <c r="C705" s="66"/>
      <c r="D705" s="66"/>
      <c r="E705" s="66"/>
      <c r="F705" s="67"/>
    </row>
    <row r="706">
      <c r="A706" s="66"/>
      <c r="B706" s="66"/>
      <c r="C706" s="66"/>
      <c r="D706" s="66"/>
      <c r="E706" s="66"/>
      <c r="F706" s="67"/>
    </row>
    <row r="707">
      <c r="A707" s="66"/>
      <c r="B707" s="66"/>
      <c r="C707" s="66"/>
      <c r="D707" s="66"/>
      <c r="E707" s="66"/>
      <c r="F707" s="67"/>
    </row>
    <row r="708">
      <c r="A708" s="66"/>
      <c r="B708" s="66"/>
      <c r="C708" s="66"/>
      <c r="D708" s="66"/>
      <c r="E708" s="66"/>
      <c r="F708" s="67"/>
    </row>
    <row r="709">
      <c r="A709" s="66"/>
      <c r="B709" s="66"/>
      <c r="C709" s="66"/>
      <c r="D709" s="66"/>
      <c r="E709" s="66"/>
      <c r="F709" s="67"/>
    </row>
    <row r="710">
      <c r="A710" s="66"/>
      <c r="B710" s="66"/>
      <c r="C710" s="66"/>
      <c r="D710" s="66"/>
      <c r="E710" s="66"/>
      <c r="F710" s="67"/>
    </row>
    <row r="711">
      <c r="A711" s="66"/>
      <c r="B711" s="66"/>
      <c r="C711" s="66"/>
      <c r="D711" s="66"/>
      <c r="E711" s="66"/>
      <c r="F711" s="67"/>
    </row>
    <row r="712">
      <c r="A712" s="66"/>
      <c r="B712" s="66"/>
      <c r="C712" s="66"/>
      <c r="D712" s="66"/>
      <c r="E712" s="66"/>
      <c r="F712" s="67"/>
    </row>
    <row r="713">
      <c r="A713" s="66"/>
      <c r="B713" s="66"/>
      <c r="C713" s="66"/>
      <c r="D713" s="66"/>
      <c r="E713" s="66"/>
      <c r="F713" s="67"/>
    </row>
    <row r="714">
      <c r="A714" s="66"/>
      <c r="B714" s="66"/>
      <c r="C714" s="66"/>
      <c r="D714" s="66"/>
      <c r="E714" s="66"/>
      <c r="F714" s="67"/>
    </row>
    <row r="715">
      <c r="A715" s="66"/>
      <c r="B715" s="66"/>
      <c r="C715" s="66"/>
      <c r="D715" s="66"/>
      <c r="E715" s="66"/>
      <c r="F715" s="67"/>
    </row>
    <row r="716">
      <c r="A716" s="66"/>
      <c r="B716" s="66"/>
      <c r="C716" s="66"/>
      <c r="D716" s="66"/>
      <c r="E716" s="66"/>
      <c r="F716" s="67"/>
    </row>
    <row r="717">
      <c r="A717" s="66"/>
      <c r="B717" s="66"/>
      <c r="C717" s="66"/>
      <c r="D717" s="66"/>
      <c r="E717" s="66"/>
      <c r="F717" s="67"/>
    </row>
    <row r="718">
      <c r="A718" s="66"/>
      <c r="B718" s="66"/>
      <c r="C718" s="66"/>
      <c r="D718" s="66"/>
      <c r="E718" s="66"/>
      <c r="F718" s="67"/>
    </row>
    <row r="719">
      <c r="A719" s="66"/>
      <c r="B719" s="66"/>
      <c r="C719" s="66"/>
      <c r="D719" s="66"/>
      <c r="E719" s="66"/>
      <c r="F719" s="67"/>
    </row>
    <row r="720">
      <c r="A720" s="66"/>
      <c r="B720" s="66"/>
      <c r="C720" s="66"/>
      <c r="D720" s="66"/>
      <c r="E720" s="66"/>
      <c r="F720" s="67"/>
    </row>
    <row r="721">
      <c r="A721" s="66"/>
      <c r="B721" s="66"/>
      <c r="C721" s="66"/>
      <c r="D721" s="66"/>
      <c r="E721" s="66"/>
      <c r="F721" s="67"/>
    </row>
    <row r="722">
      <c r="A722" s="66"/>
      <c r="B722" s="66"/>
      <c r="C722" s="66"/>
      <c r="D722" s="66"/>
      <c r="E722" s="66"/>
      <c r="F722" s="67"/>
    </row>
    <row r="723">
      <c r="A723" s="66"/>
      <c r="B723" s="66"/>
      <c r="C723" s="66"/>
      <c r="D723" s="66"/>
      <c r="E723" s="66"/>
      <c r="F723" s="67"/>
    </row>
    <row r="724">
      <c r="A724" s="66"/>
      <c r="B724" s="66"/>
      <c r="C724" s="66"/>
      <c r="D724" s="66"/>
      <c r="E724" s="66"/>
      <c r="F724" s="67"/>
    </row>
    <row r="725">
      <c r="A725" s="66"/>
      <c r="B725" s="66"/>
      <c r="C725" s="66"/>
      <c r="D725" s="66"/>
      <c r="E725" s="66"/>
      <c r="F725" s="67"/>
    </row>
    <row r="726">
      <c r="A726" s="66"/>
      <c r="B726" s="66"/>
      <c r="C726" s="66"/>
      <c r="D726" s="66"/>
      <c r="E726" s="66"/>
      <c r="F726" s="67"/>
    </row>
    <row r="727">
      <c r="A727" s="66"/>
      <c r="B727" s="66"/>
      <c r="C727" s="66"/>
      <c r="D727" s="66"/>
      <c r="E727" s="66"/>
      <c r="F727" s="67"/>
    </row>
    <row r="728">
      <c r="A728" s="66"/>
      <c r="B728" s="66"/>
      <c r="C728" s="66"/>
      <c r="D728" s="66"/>
      <c r="E728" s="66"/>
      <c r="F728" s="67"/>
    </row>
    <row r="729">
      <c r="A729" s="66"/>
      <c r="B729" s="66"/>
      <c r="C729" s="66"/>
      <c r="D729" s="66"/>
      <c r="E729" s="66"/>
      <c r="F729" s="67"/>
    </row>
    <row r="730">
      <c r="A730" s="66"/>
      <c r="B730" s="66"/>
      <c r="C730" s="66"/>
      <c r="D730" s="66"/>
      <c r="E730" s="66"/>
      <c r="F730" s="67"/>
    </row>
    <row r="731">
      <c r="A731" s="66"/>
      <c r="B731" s="66"/>
      <c r="C731" s="66"/>
      <c r="D731" s="66"/>
      <c r="E731" s="66"/>
      <c r="F731" s="67"/>
    </row>
    <row r="732">
      <c r="A732" s="66"/>
      <c r="B732" s="66"/>
      <c r="C732" s="66"/>
      <c r="D732" s="66"/>
      <c r="E732" s="66"/>
      <c r="F732" s="67"/>
    </row>
    <row r="733">
      <c r="A733" s="66"/>
      <c r="B733" s="66"/>
      <c r="C733" s="66"/>
      <c r="D733" s="66"/>
      <c r="E733" s="66"/>
      <c r="F733" s="67"/>
    </row>
    <row r="734">
      <c r="A734" s="66"/>
      <c r="B734" s="66"/>
      <c r="C734" s="66"/>
      <c r="D734" s="66"/>
      <c r="E734" s="66"/>
      <c r="F734" s="67"/>
    </row>
    <row r="735">
      <c r="A735" s="66"/>
      <c r="B735" s="66"/>
      <c r="C735" s="66"/>
      <c r="D735" s="66"/>
      <c r="E735" s="66"/>
      <c r="F735" s="67"/>
    </row>
    <row r="736">
      <c r="A736" s="66"/>
      <c r="B736" s="66"/>
      <c r="C736" s="66"/>
      <c r="D736" s="66"/>
      <c r="E736" s="66"/>
      <c r="F736" s="67"/>
    </row>
    <row r="737">
      <c r="A737" s="66"/>
      <c r="B737" s="66"/>
      <c r="C737" s="66"/>
      <c r="D737" s="66"/>
      <c r="E737" s="66"/>
      <c r="F737" s="67"/>
    </row>
    <row r="738">
      <c r="A738" s="66"/>
      <c r="B738" s="66"/>
      <c r="C738" s="66"/>
      <c r="D738" s="66"/>
      <c r="E738" s="66"/>
      <c r="F738" s="67"/>
    </row>
    <row r="739">
      <c r="A739" s="66"/>
      <c r="B739" s="66"/>
      <c r="C739" s="66"/>
      <c r="D739" s="66"/>
      <c r="E739" s="66"/>
      <c r="F739" s="67"/>
    </row>
    <row r="740">
      <c r="A740" s="66"/>
      <c r="B740" s="66"/>
      <c r="C740" s="66"/>
      <c r="D740" s="66"/>
      <c r="E740" s="66"/>
      <c r="F740" s="67"/>
    </row>
    <row r="741">
      <c r="A741" s="66"/>
      <c r="B741" s="66"/>
      <c r="C741" s="66"/>
      <c r="D741" s="66"/>
      <c r="E741" s="66"/>
      <c r="F741" s="67"/>
    </row>
    <row r="742">
      <c r="A742" s="66"/>
      <c r="B742" s="66"/>
      <c r="C742" s="66"/>
      <c r="D742" s="66"/>
      <c r="E742" s="66"/>
      <c r="F742" s="67"/>
    </row>
    <row r="743">
      <c r="A743" s="66"/>
      <c r="B743" s="66"/>
      <c r="C743" s="66"/>
      <c r="D743" s="66"/>
      <c r="E743" s="66"/>
      <c r="F743" s="67"/>
    </row>
    <row r="744">
      <c r="A744" s="66"/>
      <c r="B744" s="66"/>
      <c r="C744" s="66"/>
      <c r="D744" s="66"/>
      <c r="E744" s="66"/>
      <c r="F744" s="67"/>
    </row>
    <row r="745">
      <c r="A745" s="66"/>
      <c r="B745" s="66"/>
      <c r="C745" s="66"/>
      <c r="D745" s="66"/>
      <c r="E745" s="66"/>
      <c r="F745" s="67"/>
    </row>
    <row r="746">
      <c r="A746" s="66"/>
      <c r="B746" s="66"/>
      <c r="C746" s="66"/>
      <c r="D746" s="66"/>
      <c r="E746" s="66"/>
      <c r="F746" s="67"/>
    </row>
    <row r="747">
      <c r="A747" s="66"/>
      <c r="B747" s="66"/>
      <c r="C747" s="66"/>
      <c r="D747" s="66"/>
      <c r="E747" s="66"/>
      <c r="F747" s="67"/>
    </row>
    <row r="748">
      <c r="A748" s="66"/>
      <c r="B748" s="66"/>
      <c r="C748" s="66"/>
      <c r="D748" s="66"/>
      <c r="E748" s="66"/>
      <c r="F748" s="67"/>
    </row>
    <row r="749">
      <c r="A749" s="66"/>
      <c r="B749" s="66"/>
      <c r="C749" s="66"/>
      <c r="D749" s="66"/>
      <c r="E749" s="66"/>
      <c r="F749" s="67"/>
    </row>
    <row r="750">
      <c r="A750" s="66"/>
      <c r="B750" s="66"/>
      <c r="C750" s="66"/>
      <c r="D750" s="66"/>
      <c r="E750" s="66"/>
      <c r="F750" s="67"/>
    </row>
    <row r="751">
      <c r="A751" s="66"/>
      <c r="B751" s="66"/>
      <c r="C751" s="66"/>
      <c r="D751" s="66"/>
      <c r="E751" s="66"/>
      <c r="F751" s="67"/>
    </row>
    <row r="752">
      <c r="A752" s="66"/>
      <c r="B752" s="66"/>
      <c r="C752" s="66"/>
      <c r="D752" s="66"/>
      <c r="E752" s="66"/>
      <c r="F752" s="67"/>
    </row>
    <row r="753">
      <c r="A753" s="66"/>
      <c r="B753" s="66"/>
      <c r="C753" s="66"/>
      <c r="D753" s="66"/>
      <c r="E753" s="66"/>
      <c r="F753" s="67"/>
    </row>
    <row r="754">
      <c r="A754" s="66"/>
      <c r="B754" s="66"/>
      <c r="C754" s="66"/>
      <c r="D754" s="66"/>
      <c r="E754" s="66"/>
      <c r="F754" s="67"/>
    </row>
    <row r="755">
      <c r="A755" s="66"/>
      <c r="B755" s="66"/>
      <c r="C755" s="66"/>
      <c r="D755" s="66"/>
      <c r="E755" s="66"/>
      <c r="F755" s="67"/>
    </row>
    <row r="756">
      <c r="A756" s="66"/>
      <c r="B756" s="66"/>
      <c r="C756" s="66"/>
      <c r="D756" s="66"/>
      <c r="E756" s="66"/>
      <c r="F756" s="67"/>
    </row>
    <row r="757">
      <c r="A757" s="66"/>
      <c r="B757" s="66"/>
      <c r="C757" s="66"/>
      <c r="D757" s="66"/>
      <c r="E757" s="66"/>
      <c r="F757" s="67"/>
    </row>
    <row r="758">
      <c r="A758" s="66"/>
      <c r="B758" s="66"/>
      <c r="C758" s="66"/>
      <c r="D758" s="66"/>
      <c r="E758" s="66"/>
      <c r="F758" s="67"/>
    </row>
    <row r="759">
      <c r="A759" s="66"/>
      <c r="B759" s="66"/>
      <c r="C759" s="66"/>
      <c r="D759" s="66"/>
      <c r="E759" s="66"/>
      <c r="F759" s="67"/>
    </row>
    <row r="760">
      <c r="A760" s="66"/>
      <c r="B760" s="66"/>
      <c r="C760" s="66"/>
      <c r="D760" s="66"/>
      <c r="E760" s="66"/>
      <c r="F760" s="67"/>
    </row>
    <row r="761">
      <c r="A761" s="66"/>
      <c r="B761" s="66"/>
      <c r="C761" s="66"/>
      <c r="D761" s="66"/>
      <c r="E761" s="66"/>
      <c r="F761" s="67"/>
    </row>
    <row r="762">
      <c r="A762" s="66"/>
      <c r="B762" s="66"/>
      <c r="C762" s="66"/>
      <c r="D762" s="66"/>
      <c r="E762" s="66"/>
      <c r="F762" s="67"/>
    </row>
    <row r="763">
      <c r="A763" s="66"/>
      <c r="B763" s="66"/>
      <c r="C763" s="66"/>
      <c r="D763" s="66"/>
      <c r="E763" s="66"/>
      <c r="F763" s="67"/>
    </row>
    <row r="764">
      <c r="A764" s="66"/>
      <c r="B764" s="66"/>
      <c r="C764" s="66"/>
      <c r="D764" s="66"/>
      <c r="E764" s="66"/>
      <c r="F764" s="67"/>
    </row>
    <row r="765">
      <c r="A765" s="66"/>
      <c r="B765" s="66"/>
      <c r="C765" s="66"/>
      <c r="D765" s="66"/>
      <c r="E765" s="66"/>
      <c r="F765" s="67"/>
    </row>
    <row r="766">
      <c r="A766" s="66"/>
      <c r="B766" s="66"/>
      <c r="C766" s="66"/>
      <c r="D766" s="66"/>
      <c r="E766" s="66"/>
      <c r="F766" s="67"/>
    </row>
    <row r="767">
      <c r="A767" s="66"/>
      <c r="B767" s="66"/>
      <c r="C767" s="66"/>
      <c r="D767" s="66"/>
      <c r="E767" s="66"/>
      <c r="F767" s="67"/>
    </row>
    <row r="768">
      <c r="A768" s="66"/>
      <c r="B768" s="66"/>
      <c r="C768" s="66"/>
      <c r="D768" s="66"/>
      <c r="E768" s="66"/>
      <c r="F768" s="67"/>
    </row>
    <row r="769">
      <c r="A769" s="66"/>
      <c r="B769" s="66"/>
      <c r="C769" s="66"/>
      <c r="D769" s="66"/>
      <c r="E769" s="66"/>
      <c r="F769" s="67"/>
    </row>
    <row r="770">
      <c r="A770" s="66"/>
      <c r="B770" s="66"/>
      <c r="C770" s="66"/>
      <c r="D770" s="66"/>
      <c r="E770" s="66"/>
      <c r="F770" s="67"/>
    </row>
    <row r="771">
      <c r="A771" s="66"/>
      <c r="B771" s="66"/>
      <c r="C771" s="66"/>
      <c r="D771" s="66"/>
      <c r="E771" s="66"/>
      <c r="F771" s="67"/>
    </row>
    <row r="772">
      <c r="A772" s="66"/>
      <c r="B772" s="66"/>
      <c r="C772" s="66"/>
      <c r="D772" s="66"/>
      <c r="E772" s="66"/>
      <c r="F772" s="67"/>
    </row>
    <row r="773">
      <c r="A773" s="66"/>
      <c r="B773" s="66"/>
      <c r="C773" s="66"/>
      <c r="D773" s="66"/>
      <c r="E773" s="66"/>
      <c r="F773" s="67"/>
    </row>
    <row r="774">
      <c r="A774" s="66"/>
      <c r="B774" s="66"/>
      <c r="C774" s="66"/>
      <c r="D774" s="66"/>
      <c r="E774" s="66"/>
      <c r="F774" s="67"/>
    </row>
    <row r="775">
      <c r="A775" s="66"/>
      <c r="B775" s="66"/>
      <c r="C775" s="66"/>
      <c r="D775" s="66"/>
      <c r="E775" s="66"/>
      <c r="F775" s="67"/>
    </row>
    <row r="776">
      <c r="A776" s="66"/>
      <c r="B776" s="66"/>
      <c r="C776" s="66"/>
      <c r="D776" s="66"/>
      <c r="E776" s="66"/>
      <c r="F776" s="67"/>
    </row>
    <row r="777">
      <c r="A777" s="66"/>
      <c r="B777" s="66"/>
      <c r="C777" s="66"/>
      <c r="D777" s="66"/>
      <c r="E777" s="66"/>
      <c r="F777" s="67"/>
    </row>
    <row r="778">
      <c r="A778" s="66"/>
      <c r="B778" s="66"/>
      <c r="C778" s="66"/>
      <c r="D778" s="66"/>
      <c r="E778" s="66"/>
      <c r="F778" s="67"/>
    </row>
    <row r="779">
      <c r="A779" s="66"/>
      <c r="B779" s="66"/>
      <c r="C779" s="66"/>
      <c r="D779" s="66"/>
      <c r="E779" s="66"/>
      <c r="F779" s="67"/>
    </row>
    <row r="780">
      <c r="A780" s="66"/>
      <c r="B780" s="66"/>
      <c r="C780" s="66"/>
      <c r="D780" s="66"/>
      <c r="E780" s="66"/>
      <c r="F780" s="67"/>
    </row>
    <row r="781">
      <c r="A781" s="66"/>
      <c r="B781" s="66"/>
      <c r="C781" s="66"/>
      <c r="D781" s="66"/>
      <c r="E781" s="66"/>
      <c r="F781" s="67"/>
    </row>
    <row r="782">
      <c r="A782" s="66"/>
      <c r="B782" s="66"/>
      <c r="C782" s="66"/>
      <c r="D782" s="66"/>
      <c r="E782" s="66"/>
      <c r="F782" s="67"/>
    </row>
    <row r="783">
      <c r="A783" s="66"/>
      <c r="B783" s="66"/>
      <c r="C783" s="66"/>
      <c r="D783" s="66"/>
      <c r="E783" s="66"/>
      <c r="F783" s="67"/>
    </row>
    <row r="784">
      <c r="A784" s="66"/>
      <c r="B784" s="66"/>
      <c r="C784" s="66"/>
      <c r="D784" s="66"/>
      <c r="E784" s="66"/>
      <c r="F784" s="67"/>
    </row>
    <row r="785">
      <c r="A785" s="66"/>
      <c r="B785" s="66"/>
      <c r="C785" s="66"/>
      <c r="D785" s="66"/>
      <c r="E785" s="66"/>
      <c r="F785" s="67"/>
    </row>
    <row r="786">
      <c r="A786" s="66"/>
      <c r="B786" s="66"/>
      <c r="C786" s="66"/>
      <c r="D786" s="66"/>
      <c r="E786" s="66"/>
      <c r="F786" s="67"/>
    </row>
    <row r="787">
      <c r="A787" s="66"/>
      <c r="B787" s="66"/>
      <c r="C787" s="66"/>
      <c r="D787" s="66"/>
      <c r="E787" s="66"/>
      <c r="F787" s="67"/>
    </row>
    <row r="788">
      <c r="A788" s="66"/>
      <c r="B788" s="66"/>
      <c r="C788" s="66"/>
      <c r="D788" s="66"/>
      <c r="E788" s="66"/>
      <c r="F788" s="67"/>
    </row>
    <row r="789">
      <c r="A789" s="66"/>
      <c r="B789" s="66"/>
      <c r="C789" s="66"/>
      <c r="D789" s="66"/>
      <c r="E789" s="66"/>
      <c r="F789" s="67"/>
    </row>
    <row r="790">
      <c r="A790" s="66"/>
      <c r="B790" s="66"/>
      <c r="C790" s="66"/>
      <c r="D790" s="66"/>
      <c r="E790" s="66"/>
      <c r="F790" s="67"/>
    </row>
    <row r="791">
      <c r="A791" s="66"/>
      <c r="B791" s="66"/>
      <c r="C791" s="66"/>
      <c r="D791" s="66"/>
      <c r="E791" s="66"/>
      <c r="F791" s="67"/>
    </row>
    <row r="792">
      <c r="A792" s="66"/>
      <c r="B792" s="66"/>
      <c r="C792" s="66"/>
      <c r="D792" s="66"/>
      <c r="E792" s="66"/>
      <c r="F792" s="67"/>
    </row>
    <row r="793">
      <c r="A793" s="66"/>
      <c r="B793" s="66"/>
      <c r="C793" s="66"/>
      <c r="D793" s="66"/>
      <c r="E793" s="66"/>
      <c r="F793" s="67"/>
    </row>
    <row r="794">
      <c r="A794" s="66"/>
      <c r="B794" s="66"/>
      <c r="C794" s="66"/>
      <c r="D794" s="66"/>
      <c r="E794" s="66"/>
      <c r="F794" s="67"/>
    </row>
    <row r="795">
      <c r="A795" s="66"/>
      <c r="B795" s="66"/>
      <c r="C795" s="66"/>
      <c r="D795" s="66"/>
      <c r="E795" s="66"/>
      <c r="F795" s="67"/>
    </row>
    <row r="796">
      <c r="A796" s="66"/>
      <c r="B796" s="66"/>
      <c r="C796" s="66"/>
      <c r="D796" s="66"/>
      <c r="E796" s="66"/>
      <c r="F796" s="67"/>
    </row>
    <row r="797">
      <c r="A797" s="66"/>
      <c r="B797" s="66"/>
      <c r="C797" s="66"/>
      <c r="D797" s="66"/>
      <c r="E797" s="66"/>
      <c r="F797" s="67"/>
    </row>
    <row r="798">
      <c r="A798" s="66"/>
      <c r="B798" s="66"/>
      <c r="C798" s="66"/>
      <c r="D798" s="66"/>
      <c r="E798" s="66"/>
      <c r="F798" s="67"/>
    </row>
    <row r="799">
      <c r="A799" s="66"/>
      <c r="B799" s="66"/>
      <c r="C799" s="66"/>
      <c r="D799" s="66"/>
      <c r="E799" s="66"/>
      <c r="F799" s="67"/>
    </row>
    <row r="800">
      <c r="A800" s="66"/>
      <c r="B800" s="66"/>
      <c r="C800" s="66"/>
      <c r="D800" s="66"/>
      <c r="E800" s="66"/>
      <c r="F800" s="67"/>
    </row>
    <row r="801">
      <c r="A801" s="66"/>
      <c r="B801" s="66"/>
      <c r="C801" s="66"/>
      <c r="D801" s="66"/>
      <c r="E801" s="66"/>
      <c r="F801" s="67"/>
    </row>
    <row r="802">
      <c r="A802" s="66"/>
      <c r="B802" s="66"/>
      <c r="C802" s="66"/>
      <c r="D802" s="66"/>
      <c r="E802" s="66"/>
      <c r="F802" s="67"/>
    </row>
    <row r="803">
      <c r="A803" s="66"/>
      <c r="B803" s="66"/>
      <c r="C803" s="66"/>
      <c r="D803" s="66"/>
      <c r="E803" s="66"/>
      <c r="F803" s="67"/>
    </row>
    <row r="804">
      <c r="A804" s="66"/>
      <c r="B804" s="66"/>
      <c r="C804" s="66"/>
      <c r="D804" s="66"/>
      <c r="E804" s="66"/>
      <c r="F804" s="67"/>
    </row>
    <row r="805">
      <c r="A805" s="66"/>
      <c r="B805" s="66"/>
      <c r="C805" s="66"/>
      <c r="D805" s="66"/>
      <c r="E805" s="66"/>
      <c r="F805" s="67"/>
    </row>
    <row r="806">
      <c r="A806" s="66"/>
      <c r="B806" s="66"/>
      <c r="C806" s="66"/>
      <c r="D806" s="66"/>
      <c r="E806" s="66"/>
      <c r="F806" s="67"/>
    </row>
    <row r="807">
      <c r="A807" s="66"/>
      <c r="B807" s="66"/>
      <c r="C807" s="66"/>
      <c r="D807" s="66"/>
      <c r="E807" s="66"/>
      <c r="F807" s="67"/>
    </row>
    <row r="808">
      <c r="A808" s="66"/>
      <c r="B808" s="66"/>
      <c r="C808" s="66"/>
      <c r="D808" s="66"/>
      <c r="E808" s="66"/>
      <c r="F808" s="67"/>
    </row>
    <row r="809">
      <c r="A809" s="66"/>
      <c r="B809" s="66"/>
      <c r="C809" s="66"/>
      <c r="D809" s="66"/>
      <c r="E809" s="66"/>
      <c r="F809" s="67"/>
    </row>
    <row r="810">
      <c r="A810" s="66"/>
      <c r="B810" s="66"/>
      <c r="C810" s="66"/>
      <c r="D810" s="66"/>
      <c r="E810" s="66"/>
      <c r="F810" s="67"/>
    </row>
    <row r="811">
      <c r="A811" s="66"/>
      <c r="B811" s="66"/>
      <c r="C811" s="66"/>
      <c r="D811" s="66"/>
      <c r="E811" s="66"/>
      <c r="F811" s="67"/>
    </row>
    <row r="812">
      <c r="A812" s="66"/>
      <c r="B812" s="66"/>
      <c r="C812" s="66"/>
      <c r="D812" s="66"/>
      <c r="E812" s="66"/>
      <c r="F812" s="67"/>
    </row>
    <row r="813">
      <c r="A813" s="66"/>
      <c r="B813" s="66"/>
      <c r="C813" s="66"/>
      <c r="D813" s="66"/>
      <c r="E813" s="66"/>
      <c r="F813" s="67"/>
    </row>
    <row r="814">
      <c r="A814" s="66"/>
      <c r="B814" s="66"/>
      <c r="C814" s="66"/>
      <c r="D814" s="66"/>
      <c r="E814" s="66"/>
      <c r="F814" s="67"/>
    </row>
    <row r="815">
      <c r="A815" s="66"/>
      <c r="B815" s="66"/>
      <c r="C815" s="66"/>
      <c r="D815" s="66"/>
      <c r="E815" s="66"/>
      <c r="F815" s="67"/>
    </row>
    <row r="816">
      <c r="A816" s="66"/>
      <c r="B816" s="66"/>
      <c r="C816" s="66"/>
      <c r="D816" s="66"/>
      <c r="E816" s="66"/>
      <c r="F816" s="67"/>
    </row>
    <row r="817">
      <c r="A817" s="66"/>
      <c r="B817" s="66"/>
      <c r="C817" s="66"/>
      <c r="D817" s="66"/>
      <c r="E817" s="66"/>
      <c r="F817" s="67"/>
    </row>
    <row r="818">
      <c r="A818" s="66"/>
      <c r="B818" s="66"/>
      <c r="C818" s="66"/>
      <c r="D818" s="66"/>
      <c r="E818" s="66"/>
      <c r="F818" s="67"/>
    </row>
    <row r="819">
      <c r="A819" s="66"/>
      <c r="B819" s="66"/>
      <c r="C819" s="66"/>
      <c r="D819" s="66"/>
      <c r="E819" s="66"/>
      <c r="F819" s="67"/>
    </row>
    <row r="820">
      <c r="A820" s="66"/>
      <c r="B820" s="66"/>
      <c r="C820" s="66"/>
      <c r="D820" s="66"/>
      <c r="E820" s="66"/>
      <c r="F820" s="67"/>
    </row>
    <row r="821">
      <c r="A821" s="66"/>
      <c r="B821" s="66"/>
      <c r="C821" s="66"/>
      <c r="D821" s="66"/>
      <c r="E821" s="66"/>
      <c r="F821" s="67"/>
    </row>
    <row r="822">
      <c r="A822" s="66"/>
      <c r="B822" s="66"/>
      <c r="C822" s="66"/>
      <c r="D822" s="66"/>
      <c r="E822" s="66"/>
      <c r="F822" s="67"/>
    </row>
    <row r="823">
      <c r="A823" s="66"/>
      <c r="B823" s="66"/>
      <c r="C823" s="66"/>
      <c r="D823" s="66"/>
      <c r="E823" s="66"/>
      <c r="F823" s="67"/>
    </row>
    <row r="824">
      <c r="A824" s="66"/>
      <c r="B824" s="66"/>
      <c r="C824" s="66"/>
      <c r="D824" s="66"/>
      <c r="E824" s="66"/>
      <c r="F824" s="67"/>
    </row>
    <row r="825">
      <c r="A825" s="66"/>
      <c r="B825" s="66"/>
      <c r="C825" s="66"/>
      <c r="D825" s="66"/>
      <c r="E825" s="66"/>
      <c r="F825" s="67"/>
    </row>
    <row r="826">
      <c r="A826" s="66"/>
      <c r="B826" s="66"/>
      <c r="C826" s="66"/>
      <c r="D826" s="66"/>
      <c r="E826" s="66"/>
      <c r="F826" s="67"/>
    </row>
    <row r="827">
      <c r="A827" s="66"/>
      <c r="B827" s="66"/>
      <c r="C827" s="66"/>
      <c r="D827" s="66"/>
      <c r="E827" s="66"/>
      <c r="F827" s="67"/>
    </row>
    <row r="828">
      <c r="A828" s="66"/>
      <c r="B828" s="66"/>
      <c r="C828" s="66"/>
      <c r="D828" s="66"/>
      <c r="E828" s="66"/>
      <c r="F828" s="67"/>
    </row>
    <row r="829">
      <c r="A829" s="66"/>
      <c r="B829" s="66"/>
      <c r="C829" s="66"/>
      <c r="D829" s="66"/>
      <c r="E829" s="66"/>
      <c r="F829" s="67"/>
    </row>
    <row r="830">
      <c r="A830" s="66"/>
      <c r="B830" s="66"/>
      <c r="C830" s="66"/>
      <c r="D830" s="66"/>
      <c r="E830" s="66"/>
      <c r="F830" s="67"/>
    </row>
    <row r="831">
      <c r="A831" s="66"/>
      <c r="B831" s="66"/>
      <c r="C831" s="66"/>
      <c r="D831" s="66"/>
      <c r="E831" s="66"/>
      <c r="F831" s="67"/>
    </row>
    <row r="832">
      <c r="A832" s="66"/>
      <c r="B832" s="66"/>
      <c r="C832" s="66"/>
      <c r="D832" s="66"/>
      <c r="E832" s="66"/>
      <c r="F832" s="67"/>
    </row>
    <row r="833">
      <c r="A833" s="66"/>
      <c r="B833" s="66"/>
      <c r="C833" s="66"/>
      <c r="D833" s="66"/>
      <c r="E833" s="66"/>
      <c r="F833" s="67"/>
    </row>
    <row r="834">
      <c r="A834" s="66"/>
      <c r="B834" s="66"/>
      <c r="C834" s="66"/>
      <c r="D834" s="66"/>
      <c r="E834" s="66"/>
      <c r="F834" s="67"/>
    </row>
    <row r="835">
      <c r="A835" s="66"/>
      <c r="B835" s="66"/>
      <c r="C835" s="66"/>
      <c r="D835" s="66"/>
      <c r="E835" s="66"/>
      <c r="F835" s="67"/>
    </row>
    <row r="836">
      <c r="A836" s="66"/>
      <c r="B836" s="66"/>
      <c r="C836" s="66"/>
      <c r="D836" s="66"/>
      <c r="E836" s="66"/>
      <c r="F836" s="67"/>
    </row>
    <row r="837">
      <c r="A837" s="66"/>
      <c r="B837" s="66"/>
      <c r="C837" s="66"/>
      <c r="D837" s="66"/>
      <c r="E837" s="66"/>
      <c r="F837" s="67"/>
    </row>
    <row r="838">
      <c r="A838" s="66"/>
      <c r="B838" s="66"/>
      <c r="C838" s="66"/>
      <c r="D838" s="66"/>
      <c r="E838" s="66"/>
      <c r="F838" s="67"/>
    </row>
    <row r="839">
      <c r="A839" s="66"/>
      <c r="B839" s="66"/>
      <c r="C839" s="66"/>
      <c r="D839" s="66"/>
      <c r="E839" s="66"/>
      <c r="F839" s="67"/>
    </row>
    <row r="840">
      <c r="A840" s="66"/>
      <c r="B840" s="66"/>
      <c r="C840" s="66"/>
      <c r="D840" s="66"/>
      <c r="E840" s="66"/>
      <c r="F840" s="67"/>
    </row>
    <row r="841">
      <c r="A841" s="66"/>
      <c r="B841" s="66"/>
      <c r="C841" s="66"/>
      <c r="D841" s="66"/>
      <c r="E841" s="66"/>
      <c r="F841" s="67"/>
    </row>
    <row r="842">
      <c r="A842" s="66"/>
      <c r="B842" s="66"/>
      <c r="C842" s="66"/>
      <c r="D842" s="66"/>
      <c r="E842" s="66"/>
      <c r="F842" s="67"/>
    </row>
    <row r="843">
      <c r="A843" s="66"/>
      <c r="B843" s="66"/>
      <c r="C843" s="66"/>
      <c r="D843" s="66"/>
      <c r="E843" s="66"/>
      <c r="F843" s="67"/>
    </row>
    <row r="844">
      <c r="A844" s="66"/>
      <c r="B844" s="66"/>
      <c r="C844" s="66"/>
      <c r="D844" s="66"/>
      <c r="E844" s="66"/>
      <c r="F844" s="67"/>
    </row>
    <row r="845">
      <c r="A845" s="66"/>
      <c r="B845" s="66"/>
      <c r="C845" s="66"/>
      <c r="D845" s="66"/>
      <c r="E845" s="66"/>
      <c r="F845" s="67"/>
    </row>
    <row r="846">
      <c r="A846" s="66"/>
      <c r="B846" s="66"/>
      <c r="C846" s="66"/>
      <c r="D846" s="66"/>
      <c r="E846" s="66"/>
      <c r="F846" s="67"/>
    </row>
    <row r="847">
      <c r="A847" s="66"/>
      <c r="B847" s="66"/>
      <c r="C847" s="66"/>
      <c r="D847" s="66"/>
      <c r="E847" s="66"/>
      <c r="F847" s="67"/>
    </row>
    <row r="848">
      <c r="A848" s="66"/>
      <c r="B848" s="66"/>
      <c r="C848" s="66"/>
      <c r="D848" s="66"/>
      <c r="E848" s="66"/>
      <c r="F848" s="67"/>
    </row>
    <row r="849">
      <c r="A849" s="66"/>
      <c r="B849" s="66"/>
      <c r="C849" s="66"/>
      <c r="D849" s="66"/>
      <c r="E849" s="66"/>
      <c r="F849" s="67"/>
    </row>
    <row r="850">
      <c r="A850" s="66"/>
      <c r="B850" s="66"/>
      <c r="C850" s="66"/>
      <c r="D850" s="66"/>
      <c r="E850" s="66"/>
      <c r="F850" s="67"/>
    </row>
    <row r="851">
      <c r="A851" s="66"/>
      <c r="B851" s="66"/>
      <c r="C851" s="66"/>
      <c r="D851" s="66"/>
      <c r="E851" s="66"/>
      <c r="F851" s="67"/>
    </row>
    <row r="852">
      <c r="A852" s="66"/>
      <c r="B852" s="66"/>
      <c r="C852" s="66"/>
      <c r="D852" s="66"/>
      <c r="E852" s="66"/>
      <c r="F852" s="67"/>
    </row>
    <row r="853">
      <c r="A853" s="66"/>
      <c r="B853" s="66"/>
      <c r="C853" s="66"/>
      <c r="D853" s="66"/>
      <c r="E853" s="66"/>
      <c r="F853" s="67"/>
    </row>
    <row r="854">
      <c r="A854" s="66"/>
      <c r="B854" s="66"/>
      <c r="C854" s="66"/>
      <c r="D854" s="66"/>
      <c r="E854" s="66"/>
      <c r="F854" s="67"/>
    </row>
    <row r="855">
      <c r="A855" s="66"/>
      <c r="B855" s="66"/>
      <c r="C855" s="66"/>
      <c r="D855" s="66"/>
      <c r="E855" s="66"/>
      <c r="F855" s="67"/>
    </row>
    <row r="856">
      <c r="A856" s="66"/>
      <c r="B856" s="66"/>
      <c r="C856" s="66"/>
      <c r="D856" s="66"/>
      <c r="E856" s="66"/>
      <c r="F856" s="67"/>
    </row>
    <row r="857">
      <c r="A857" s="66"/>
      <c r="B857" s="66"/>
      <c r="C857" s="66"/>
      <c r="D857" s="66"/>
      <c r="E857" s="66"/>
      <c r="F857" s="67"/>
    </row>
    <row r="858">
      <c r="A858" s="66"/>
      <c r="B858" s="66"/>
      <c r="C858" s="66"/>
      <c r="D858" s="66"/>
      <c r="E858" s="66"/>
      <c r="F858" s="67"/>
    </row>
    <row r="859">
      <c r="A859" s="66"/>
      <c r="B859" s="66"/>
      <c r="C859" s="66"/>
      <c r="D859" s="66"/>
      <c r="E859" s="66"/>
      <c r="F859" s="67"/>
    </row>
    <row r="860">
      <c r="A860" s="66"/>
      <c r="B860" s="66"/>
      <c r="C860" s="66"/>
      <c r="D860" s="66"/>
      <c r="E860" s="66"/>
      <c r="F860" s="67"/>
    </row>
    <row r="861">
      <c r="A861" s="66"/>
      <c r="B861" s="66"/>
      <c r="C861" s="66"/>
      <c r="D861" s="66"/>
      <c r="E861" s="66"/>
      <c r="F861" s="67"/>
    </row>
    <row r="862">
      <c r="A862" s="66"/>
      <c r="B862" s="66"/>
      <c r="C862" s="66"/>
      <c r="D862" s="66"/>
      <c r="E862" s="66"/>
      <c r="F862" s="67"/>
    </row>
    <row r="863">
      <c r="A863" s="66"/>
      <c r="B863" s="66"/>
      <c r="C863" s="66"/>
      <c r="D863" s="66"/>
      <c r="E863" s="66"/>
      <c r="F863" s="67"/>
    </row>
    <row r="864">
      <c r="A864" s="66"/>
      <c r="B864" s="66"/>
      <c r="C864" s="66"/>
      <c r="D864" s="66"/>
      <c r="E864" s="66"/>
      <c r="F864" s="67"/>
    </row>
    <row r="865">
      <c r="A865" s="66"/>
      <c r="B865" s="66"/>
      <c r="C865" s="66"/>
      <c r="D865" s="66"/>
      <c r="E865" s="66"/>
      <c r="F865" s="67"/>
    </row>
    <row r="866">
      <c r="A866" s="66"/>
      <c r="B866" s="66"/>
      <c r="C866" s="66"/>
      <c r="D866" s="66"/>
      <c r="E866" s="66"/>
      <c r="F866" s="67"/>
    </row>
    <row r="867">
      <c r="A867" s="66"/>
      <c r="B867" s="66"/>
      <c r="C867" s="66"/>
      <c r="D867" s="66"/>
      <c r="E867" s="66"/>
      <c r="F867" s="67"/>
    </row>
    <row r="868">
      <c r="A868" s="66"/>
      <c r="B868" s="66"/>
      <c r="C868" s="66"/>
      <c r="D868" s="66"/>
      <c r="E868" s="66"/>
      <c r="F868" s="67"/>
    </row>
    <row r="869">
      <c r="A869" s="66"/>
      <c r="B869" s="66"/>
      <c r="C869" s="66"/>
      <c r="D869" s="66"/>
      <c r="E869" s="66"/>
      <c r="F869" s="67"/>
    </row>
    <row r="870">
      <c r="A870" s="66"/>
      <c r="B870" s="66"/>
      <c r="C870" s="66"/>
      <c r="D870" s="66"/>
      <c r="E870" s="66"/>
      <c r="F870" s="67"/>
    </row>
    <row r="871">
      <c r="A871" s="66"/>
      <c r="B871" s="66"/>
      <c r="C871" s="66"/>
      <c r="D871" s="66"/>
      <c r="E871" s="66"/>
      <c r="F871" s="67"/>
    </row>
    <row r="872">
      <c r="A872" s="66"/>
      <c r="B872" s="66"/>
      <c r="C872" s="66"/>
      <c r="D872" s="66"/>
      <c r="E872" s="66"/>
      <c r="F872" s="67"/>
    </row>
    <row r="873">
      <c r="A873" s="66"/>
      <c r="B873" s="66"/>
      <c r="C873" s="66"/>
      <c r="D873" s="66"/>
      <c r="E873" s="66"/>
      <c r="F873" s="67"/>
    </row>
    <row r="874">
      <c r="A874" s="66"/>
      <c r="B874" s="66"/>
      <c r="C874" s="66"/>
      <c r="D874" s="66"/>
      <c r="E874" s="66"/>
      <c r="F874" s="67"/>
    </row>
    <row r="875">
      <c r="A875" s="66"/>
      <c r="B875" s="66"/>
      <c r="C875" s="66"/>
      <c r="D875" s="66"/>
      <c r="E875" s="66"/>
      <c r="F875" s="67"/>
    </row>
    <row r="876">
      <c r="A876" s="66"/>
      <c r="B876" s="66"/>
      <c r="C876" s="66"/>
      <c r="D876" s="66"/>
      <c r="E876" s="66"/>
      <c r="F876" s="67"/>
    </row>
    <row r="877">
      <c r="A877" s="66"/>
      <c r="B877" s="66"/>
      <c r="C877" s="66"/>
      <c r="D877" s="66"/>
      <c r="E877" s="66"/>
      <c r="F877" s="67"/>
    </row>
    <row r="878">
      <c r="A878" s="66"/>
      <c r="B878" s="66"/>
      <c r="C878" s="66"/>
      <c r="D878" s="66"/>
      <c r="E878" s="66"/>
      <c r="F878" s="67"/>
    </row>
    <row r="879">
      <c r="A879" s="66"/>
      <c r="B879" s="66"/>
      <c r="C879" s="66"/>
      <c r="D879" s="66"/>
      <c r="E879" s="66"/>
      <c r="F879" s="67"/>
    </row>
    <row r="880">
      <c r="A880" s="66"/>
      <c r="B880" s="66"/>
      <c r="C880" s="66"/>
      <c r="D880" s="66"/>
      <c r="E880" s="66"/>
      <c r="F880" s="67"/>
    </row>
    <row r="881">
      <c r="A881" s="66"/>
      <c r="B881" s="66"/>
      <c r="C881" s="66"/>
      <c r="D881" s="66"/>
      <c r="E881" s="66"/>
      <c r="F881" s="67"/>
    </row>
    <row r="882">
      <c r="A882" s="66"/>
      <c r="B882" s="66"/>
      <c r="C882" s="66"/>
      <c r="D882" s="66"/>
      <c r="E882" s="66"/>
      <c r="F882" s="67"/>
    </row>
    <row r="883">
      <c r="A883" s="66"/>
      <c r="B883" s="66"/>
      <c r="C883" s="66"/>
      <c r="D883" s="66"/>
      <c r="E883" s="66"/>
      <c r="F883" s="67"/>
    </row>
    <row r="884">
      <c r="A884" s="66"/>
      <c r="B884" s="66"/>
      <c r="C884" s="66"/>
      <c r="D884" s="66"/>
      <c r="E884" s="66"/>
      <c r="F884" s="67"/>
    </row>
    <row r="885">
      <c r="A885" s="66"/>
      <c r="B885" s="66"/>
      <c r="C885" s="66"/>
      <c r="D885" s="66"/>
      <c r="E885" s="66"/>
      <c r="F885" s="67"/>
    </row>
    <row r="886">
      <c r="A886" s="66"/>
      <c r="B886" s="66"/>
      <c r="C886" s="66"/>
      <c r="D886" s="66"/>
      <c r="E886" s="66"/>
      <c r="F886" s="67"/>
    </row>
    <row r="887">
      <c r="A887" s="66"/>
      <c r="B887" s="66"/>
      <c r="C887" s="66"/>
      <c r="D887" s="66"/>
      <c r="E887" s="66"/>
      <c r="F887" s="67"/>
    </row>
    <row r="888">
      <c r="A888" s="66"/>
      <c r="B888" s="66"/>
      <c r="C888" s="66"/>
      <c r="D888" s="66"/>
      <c r="E888" s="66"/>
      <c r="F888" s="67"/>
    </row>
    <row r="889">
      <c r="A889" s="66"/>
      <c r="B889" s="66"/>
      <c r="C889" s="66"/>
      <c r="D889" s="66"/>
      <c r="E889" s="66"/>
      <c r="F889" s="67"/>
    </row>
    <row r="890">
      <c r="A890" s="66"/>
      <c r="B890" s="66"/>
      <c r="C890" s="66"/>
      <c r="D890" s="66"/>
      <c r="E890" s="66"/>
      <c r="F890" s="67"/>
    </row>
    <row r="891">
      <c r="A891" s="66"/>
      <c r="B891" s="66"/>
      <c r="C891" s="66"/>
      <c r="D891" s="66"/>
      <c r="E891" s="66"/>
      <c r="F891" s="67"/>
    </row>
    <row r="892">
      <c r="A892" s="66"/>
      <c r="B892" s="66"/>
      <c r="C892" s="66"/>
      <c r="D892" s="66"/>
      <c r="E892" s="66"/>
      <c r="F892" s="67"/>
    </row>
    <row r="893">
      <c r="A893" s="66"/>
      <c r="B893" s="66"/>
      <c r="C893" s="66"/>
      <c r="D893" s="66"/>
      <c r="E893" s="66"/>
      <c r="F893" s="67"/>
    </row>
    <row r="894">
      <c r="A894" s="66"/>
      <c r="B894" s="66"/>
      <c r="C894" s="66"/>
      <c r="D894" s="66"/>
      <c r="E894" s="66"/>
      <c r="F894" s="67"/>
    </row>
    <row r="895">
      <c r="A895" s="66"/>
      <c r="B895" s="66"/>
      <c r="C895" s="66"/>
      <c r="D895" s="66"/>
      <c r="E895" s="66"/>
      <c r="F895" s="67"/>
    </row>
    <row r="896">
      <c r="A896" s="66"/>
      <c r="B896" s="66"/>
      <c r="C896" s="66"/>
      <c r="D896" s="66"/>
      <c r="E896" s="66"/>
      <c r="F896" s="67"/>
    </row>
    <row r="897">
      <c r="A897" s="66"/>
      <c r="B897" s="66"/>
      <c r="C897" s="66"/>
      <c r="D897" s="66"/>
      <c r="E897" s="66"/>
      <c r="F897" s="67"/>
    </row>
    <row r="898">
      <c r="A898" s="66"/>
      <c r="B898" s="66"/>
      <c r="C898" s="66"/>
      <c r="D898" s="66"/>
      <c r="E898" s="66"/>
      <c r="F898" s="67"/>
    </row>
    <row r="899">
      <c r="A899" s="66"/>
      <c r="B899" s="66"/>
      <c r="C899" s="66"/>
      <c r="D899" s="66"/>
      <c r="E899" s="66"/>
      <c r="F899" s="67"/>
    </row>
    <row r="900">
      <c r="A900" s="66"/>
      <c r="B900" s="66"/>
      <c r="C900" s="66"/>
      <c r="D900" s="66"/>
      <c r="E900" s="66"/>
      <c r="F900" s="67"/>
    </row>
    <row r="901">
      <c r="A901" s="66"/>
      <c r="B901" s="66"/>
      <c r="C901" s="66"/>
      <c r="D901" s="66"/>
      <c r="E901" s="66"/>
      <c r="F901" s="67"/>
    </row>
    <row r="902">
      <c r="A902" s="66"/>
      <c r="B902" s="66"/>
      <c r="C902" s="66"/>
      <c r="D902" s="66"/>
      <c r="E902" s="66"/>
      <c r="F902" s="67"/>
    </row>
    <row r="903">
      <c r="A903" s="66"/>
      <c r="B903" s="66"/>
      <c r="C903" s="66"/>
      <c r="D903" s="66"/>
      <c r="E903" s="66"/>
      <c r="F903" s="67"/>
    </row>
    <row r="904">
      <c r="A904" s="66"/>
      <c r="B904" s="66"/>
      <c r="C904" s="66"/>
      <c r="D904" s="66"/>
      <c r="E904" s="66"/>
      <c r="F904" s="67"/>
    </row>
    <row r="905">
      <c r="A905" s="66"/>
      <c r="B905" s="66"/>
      <c r="C905" s="66"/>
      <c r="D905" s="66"/>
      <c r="E905" s="66"/>
      <c r="F905" s="67"/>
    </row>
    <row r="906">
      <c r="A906" s="66"/>
      <c r="B906" s="66"/>
      <c r="C906" s="66"/>
      <c r="D906" s="66"/>
      <c r="E906" s="66"/>
      <c r="F906" s="67"/>
    </row>
    <row r="907">
      <c r="A907" s="66"/>
      <c r="B907" s="66"/>
      <c r="C907" s="66"/>
      <c r="D907" s="66"/>
      <c r="E907" s="66"/>
      <c r="F907" s="67"/>
    </row>
    <row r="908">
      <c r="A908" s="66"/>
      <c r="B908" s="66"/>
      <c r="C908" s="66"/>
      <c r="D908" s="66"/>
      <c r="E908" s="66"/>
      <c r="F908" s="67"/>
    </row>
    <row r="909">
      <c r="A909" s="66"/>
      <c r="B909" s="66"/>
      <c r="C909" s="66"/>
      <c r="D909" s="66"/>
      <c r="E909" s="66"/>
      <c r="F909" s="67"/>
    </row>
    <row r="910">
      <c r="A910" s="66"/>
      <c r="B910" s="66"/>
      <c r="C910" s="66"/>
      <c r="D910" s="66"/>
      <c r="E910" s="66"/>
      <c r="F910" s="67"/>
    </row>
    <row r="911">
      <c r="A911" s="66"/>
      <c r="B911" s="66"/>
      <c r="C911" s="66"/>
      <c r="D911" s="66"/>
      <c r="E911" s="66"/>
      <c r="F911" s="67"/>
    </row>
    <row r="912">
      <c r="A912" s="66"/>
      <c r="B912" s="66"/>
      <c r="C912" s="66"/>
      <c r="D912" s="66"/>
      <c r="E912" s="66"/>
      <c r="F912" s="67"/>
    </row>
    <row r="913">
      <c r="A913" s="66"/>
      <c r="B913" s="66"/>
      <c r="C913" s="66"/>
      <c r="D913" s="66"/>
      <c r="E913" s="66"/>
      <c r="F913" s="67"/>
    </row>
    <row r="914">
      <c r="A914" s="66"/>
      <c r="B914" s="66"/>
      <c r="C914" s="66"/>
      <c r="D914" s="66"/>
      <c r="E914" s="66"/>
      <c r="F914" s="67"/>
    </row>
    <row r="915">
      <c r="A915" s="66"/>
      <c r="B915" s="66"/>
      <c r="C915" s="66"/>
      <c r="D915" s="66"/>
      <c r="E915" s="66"/>
      <c r="F915" s="67"/>
    </row>
    <row r="916">
      <c r="A916" s="66"/>
      <c r="B916" s="66"/>
      <c r="C916" s="66"/>
      <c r="D916" s="66"/>
      <c r="E916" s="66"/>
      <c r="F916" s="67"/>
    </row>
    <row r="917">
      <c r="A917" s="66"/>
      <c r="B917" s="66"/>
      <c r="C917" s="66"/>
      <c r="D917" s="66"/>
      <c r="E917" s="66"/>
      <c r="F917" s="67"/>
    </row>
    <row r="918">
      <c r="A918" s="66"/>
      <c r="B918" s="66"/>
      <c r="C918" s="66"/>
      <c r="D918" s="66"/>
      <c r="E918" s="66"/>
      <c r="F918" s="67"/>
    </row>
    <row r="919">
      <c r="A919" s="66"/>
      <c r="B919" s="66"/>
      <c r="C919" s="66"/>
      <c r="D919" s="66"/>
      <c r="E919" s="66"/>
      <c r="F919" s="67"/>
    </row>
    <row r="920">
      <c r="A920" s="66"/>
      <c r="B920" s="66"/>
      <c r="C920" s="66"/>
      <c r="D920" s="66"/>
      <c r="E920" s="66"/>
      <c r="F920" s="67"/>
    </row>
    <row r="921">
      <c r="A921" s="66"/>
      <c r="B921" s="66"/>
      <c r="C921" s="66"/>
      <c r="D921" s="66"/>
      <c r="E921" s="66"/>
      <c r="F921" s="67"/>
    </row>
    <row r="922">
      <c r="A922" s="66"/>
      <c r="B922" s="66"/>
      <c r="C922" s="66"/>
      <c r="D922" s="66"/>
      <c r="E922" s="66"/>
      <c r="F922" s="67"/>
    </row>
    <row r="923">
      <c r="A923" s="66"/>
      <c r="B923" s="66"/>
      <c r="C923" s="66"/>
      <c r="D923" s="66"/>
      <c r="E923" s="66"/>
      <c r="F923" s="67"/>
    </row>
    <row r="924">
      <c r="A924" s="66"/>
      <c r="B924" s="66"/>
      <c r="C924" s="66"/>
      <c r="D924" s="66"/>
      <c r="E924" s="66"/>
      <c r="F924" s="67"/>
    </row>
    <row r="925">
      <c r="A925" s="66"/>
      <c r="B925" s="66"/>
      <c r="C925" s="66"/>
      <c r="D925" s="66"/>
      <c r="E925" s="66"/>
      <c r="F925" s="67"/>
    </row>
    <row r="926">
      <c r="A926" s="66"/>
      <c r="B926" s="66"/>
      <c r="C926" s="66"/>
      <c r="D926" s="66"/>
      <c r="E926" s="66"/>
      <c r="F926" s="67"/>
    </row>
    <row r="927">
      <c r="A927" s="66"/>
      <c r="B927" s="66"/>
      <c r="C927" s="66"/>
      <c r="D927" s="66"/>
      <c r="E927" s="66"/>
      <c r="F927" s="67"/>
    </row>
    <row r="928">
      <c r="A928" s="66"/>
      <c r="B928" s="66"/>
      <c r="C928" s="66"/>
      <c r="D928" s="66"/>
      <c r="E928" s="66"/>
      <c r="F928" s="67"/>
    </row>
    <row r="929">
      <c r="A929" s="66"/>
      <c r="B929" s="66"/>
      <c r="C929" s="66"/>
      <c r="D929" s="66"/>
      <c r="E929" s="66"/>
      <c r="F929" s="67"/>
    </row>
    <row r="930">
      <c r="A930" s="66"/>
      <c r="B930" s="66"/>
      <c r="C930" s="66"/>
      <c r="D930" s="66"/>
      <c r="E930" s="66"/>
      <c r="F930" s="67"/>
    </row>
    <row r="931">
      <c r="A931" s="66"/>
      <c r="B931" s="66"/>
      <c r="C931" s="66"/>
      <c r="D931" s="66"/>
      <c r="E931" s="66"/>
      <c r="F931" s="67"/>
    </row>
    <row r="932">
      <c r="A932" s="66"/>
      <c r="B932" s="66"/>
      <c r="C932" s="66"/>
      <c r="D932" s="66"/>
      <c r="E932" s="66"/>
      <c r="F932" s="67"/>
    </row>
    <row r="933">
      <c r="A933" s="66"/>
      <c r="B933" s="66"/>
      <c r="C933" s="66"/>
      <c r="D933" s="66"/>
      <c r="E933" s="66"/>
      <c r="F933" s="67"/>
    </row>
    <row r="934">
      <c r="A934" s="66"/>
      <c r="B934" s="66"/>
      <c r="C934" s="66"/>
      <c r="D934" s="66"/>
      <c r="E934" s="66"/>
      <c r="F934" s="67"/>
    </row>
    <row r="935">
      <c r="A935" s="66"/>
      <c r="B935" s="66"/>
      <c r="C935" s="66"/>
      <c r="D935" s="66"/>
      <c r="E935" s="66"/>
      <c r="F935" s="67"/>
    </row>
    <row r="936">
      <c r="A936" s="66"/>
      <c r="B936" s="66"/>
      <c r="C936" s="66"/>
      <c r="D936" s="66"/>
      <c r="E936" s="66"/>
      <c r="F936" s="67"/>
    </row>
    <row r="937">
      <c r="A937" s="66"/>
      <c r="B937" s="66"/>
      <c r="C937" s="66"/>
      <c r="D937" s="66"/>
      <c r="E937" s="66"/>
      <c r="F937" s="67"/>
    </row>
    <row r="938">
      <c r="A938" s="66"/>
      <c r="B938" s="66"/>
      <c r="C938" s="66"/>
      <c r="D938" s="66"/>
      <c r="E938" s="66"/>
      <c r="F938" s="67"/>
    </row>
    <row r="939">
      <c r="A939" s="66"/>
      <c r="B939" s="66"/>
      <c r="C939" s="66"/>
      <c r="D939" s="66"/>
      <c r="E939" s="66"/>
      <c r="F939" s="67"/>
    </row>
    <row r="940">
      <c r="A940" s="66"/>
      <c r="B940" s="66"/>
      <c r="C940" s="66"/>
      <c r="D940" s="66"/>
      <c r="E940" s="66"/>
      <c r="F940" s="67"/>
    </row>
    <row r="941">
      <c r="A941" s="66"/>
      <c r="B941" s="66"/>
      <c r="C941" s="66"/>
      <c r="D941" s="66"/>
      <c r="E941" s="66"/>
      <c r="F941" s="67"/>
    </row>
    <row r="942">
      <c r="A942" s="66"/>
      <c r="B942" s="66"/>
      <c r="C942" s="66"/>
      <c r="D942" s="66"/>
      <c r="E942" s="66"/>
      <c r="F942" s="67"/>
    </row>
    <row r="943">
      <c r="A943" s="66"/>
      <c r="B943" s="66"/>
      <c r="C943" s="66"/>
      <c r="D943" s="66"/>
      <c r="E943" s="66"/>
      <c r="F943" s="67"/>
    </row>
    <row r="944">
      <c r="A944" s="66"/>
      <c r="B944" s="66"/>
      <c r="C944" s="66"/>
      <c r="D944" s="66"/>
      <c r="E944" s="66"/>
      <c r="F944" s="67"/>
    </row>
    <row r="945">
      <c r="A945" s="66"/>
      <c r="B945" s="66"/>
      <c r="C945" s="66"/>
      <c r="D945" s="66"/>
      <c r="E945" s="66"/>
      <c r="F945" s="67"/>
    </row>
    <row r="946">
      <c r="A946" s="66"/>
      <c r="B946" s="66"/>
      <c r="C946" s="66"/>
      <c r="D946" s="66"/>
      <c r="E946" s="66"/>
      <c r="F946" s="67"/>
    </row>
    <row r="947">
      <c r="A947" s="66"/>
      <c r="B947" s="66"/>
      <c r="C947" s="66"/>
      <c r="D947" s="66"/>
      <c r="E947" s="66"/>
      <c r="F947" s="67"/>
    </row>
    <row r="948">
      <c r="A948" s="66"/>
      <c r="B948" s="66"/>
      <c r="C948" s="66"/>
      <c r="D948" s="66"/>
      <c r="E948" s="66"/>
      <c r="F948" s="67"/>
    </row>
    <row r="949">
      <c r="A949" s="66"/>
      <c r="B949" s="66"/>
      <c r="C949" s="66"/>
      <c r="D949" s="66"/>
      <c r="E949" s="66"/>
      <c r="F949" s="67"/>
    </row>
    <row r="950">
      <c r="A950" s="66"/>
      <c r="B950" s="66"/>
      <c r="C950" s="66"/>
      <c r="D950" s="66"/>
      <c r="E950" s="66"/>
      <c r="F950" s="67"/>
    </row>
    <row r="951">
      <c r="A951" s="66"/>
      <c r="B951" s="66"/>
      <c r="C951" s="66"/>
      <c r="D951" s="66"/>
      <c r="E951" s="66"/>
      <c r="F951" s="67"/>
    </row>
    <row r="952">
      <c r="A952" s="66"/>
      <c r="B952" s="66"/>
      <c r="C952" s="66"/>
      <c r="D952" s="66"/>
      <c r="E952" s="66"/>
      <c r="F952" s="67"/>
    </row>
    <row r="953">
      <c r="A953" s="66"/>
      <c r="B953" s="66"/>
      <c r="C953" s="66"/>
      <c r="D953" s="66"/>
      <c r="E953" s="66"/>
      <c r="F953" s="67"/>
    </row>
    <row r="954">
      <c r="A954" s="66"/>
      <c r="B954" s="66"/>
      <c r="C954" s="66"/>
      <c r="D954" s="66"/>
      <c r="E954" s="66"/>
      <c r="F954" s="67"/>
    </row>
    <row r="955">
      <c r="A955" s="66"/>
      <c r="B955" s="66"/>
      <c r="C955" s="66"/>
      <c r="D955" s="66"/>
      <c r="E955" s="66"/>
      <c r="F955" s="67"/>
    </row>
    <row r="956">
      <c r="A956" s="66"/>
      <c r="B956" s="66"/>
      <c r="C956" s="66"/>
      <c r="D956" s="66"/>
      <c r="E956" s="66"/>
      <c r="F956" s="67"/>
    </row>
    <row r="957">
      <c r="A957" s="66"/>
      <c r="B957" s="66"/>
      <c r="C957" s="66"/>
      <c r="D957" s="66"/>
      <c r="E957" s="66"/>
      <c r="F957" s="67"/>
    </row>
    <row r="958">
      <c r="A958" s="66"/>
      <c r="B958" s="66"/>
      <c r="C958" s="66"/>
      <c r="D958" s="66"/>
      <c r="E958" s="66"/>
      <c r="F958" s="67"/>
    </row>
    <row r="959">
      <c r="A959" s="66"/>
      <c r="B959" s="66"/>
      <c r="C959" s="66"/>
      <c r="D959" s="66"/>
      <c r="E959" s="66"/>
      <c r="F959" s="67"/>
    </row>
    <row r="960">
      <c r="A960" s="66"/>
      <c r="B960" s="66"/>
      <c r="C960" s="66"/>
      <c r="D960" s="66"/>
      <c r="E960" s="66"/>
      <c r="F960" s="67"/>
    </row>
    <row r="961">
      <c r="A961" s="66"/>
      <c r="B961" s="66"/>
      <c r="C961" s="66"/>
      <c r="D961" s="66"/>
      <c r="E961" s="66"/>
      <c r="F961" s="67"/>
    </row>
    <row r="962">
      <c r="A962" s="66"/>
      <c r="B962" s="66"/>
      <c r="C962" s="66"/>
      <c r="D962" s="66"/>
      <c r="E962" s="66"/>
      <c r="F962" s="67"/>
    </row>
    <row r="963">
      <c r="A963" s="66"/>
      <c r="B963" s="66"/>
      <c r="C963" s="66"/>
      <c r="D963" s="66"/>
      <c r="E963" s="66"/>
      <c r="F963" s="67"/>
    </row>
    <row r="964">
      <c r="A964" s="66"/>
      <c r="B964" s="66"/>
      <c r="C964" s="66"/>
      <c r="D964" s="66"/>
      <c r="E964" s="66"/>
      <c r="F964" s="67"/>
    </row>
    <row r="965">
      <c r="A965" s="66"/>
      <c r="B965" s="66"/>
      <c r="C965" s="66"/>
      <c r="D965" s="66"/>
      <c r="E965" s="66"/>
      <c r="F965" s="67"/>
    </row>
    <row r="966">
      <c r="A966" s="66"/>
      <c r="B966" s="66"/>
      <c r="C966" s="66"/>
      <c r="D966" s="66"/>
      <c r="E966" s="66"/>
      <c r="F966" s="67"/>
    </row>
    <row r="967">
      <c r="A967" s="66"/>
      <c r="B967" s="66"/>
      <c r="C967" s="66"/>
      <c r="D967" s="66"/>
      <c r="E967" s="66"/>
      <c r="F967" s="67"/>
    </row>
    <row r="968">
      <c r="A968" s="66"/>
      <c r="B968" s="66"/>
      <c r="C968" s="66"/>
      <c r="D968" s="66"/>
      <c r="E968" s="66"/>
      <c r="F968" s="67"/>
    </row>
    <row r="969">
      <c r="A969" s="66"/>
      <c r="B969" s="66"/>
      <c r="C969" s="66"/>
      <c r="D969" s="66"/>
      <c r="E969" s="66"/>
      <c r="F969" s="67"/>
    </row>
    <row r="970">
      <c r="A970" s="66"/>
      <c r="B970" s="66"/>
      <c r="C970" s="66"/>
      <c r="D970" s="66"/>
      <c r="E970" s="66"/>
      <c r="F970" s="67"/>
    </row>
    <row r="971">
      <c r="A971" s="66"/>
      <c r="B971" s="66"/>
      <c r="C971" s="66"/>
      <c r="D971" s="66"/>
      <c r="E971" s="66"/>
      <c r="F971" s="67"/>
    </row>
    <row r="972">
      <c r="A972" s="66"/>
      <c r="B972" s="66"/>
      <c r="C972" s="66"/>
      <c r="D972" s="66"/>
      <c r="E972" s="66"/>
      <c r="F972" s="67"/>
    </row>
    <row r="973">
      <c r="A973" s="66"/>
      <c r="B973" s="66"/>
      <c r="C973" s="66"/>
      <c r="D973" s="66"/>
      <c r="E973" s="66"/>
      <c r="F973" s="67"/>
    </row>
    <row r="974">
      <c r="A974" s="66"/>
      <c r="B974" s="66"/>
      <c r="C974" s="66"/>
      <c r="D974" s="66"/>
      <c r="E974" s="66"/>
      <c r="F974" s="67"/>
    </row>
    <row r="975">
      <c r="A975" s="66"/>
      <c r="B975" s="66"/>
      <c r="C975" s="66"/>
      <c r="D975" s="66"/>
      <c r="E975" s="66"/>
      <c r="F975" s="67"/>
    </row>
    <row r="976">
      <c r="A976" s="66"/>
      <c r="B976" s="66"/>
      <c r="C976" s="66"/>
      <c r="D976" s="66"/>
      <c r="E976" s="66"/>
      <c r="F976" s="67"/>
    </row>
    <row r="977">
      <c r="A977" s="66"/>
      <c r="B977" s="66"/>
      <c r="C977" s="66"/>
      <c r="D977" s="66"/>
      <c r="E977" s="66"/>
      <c r="F977" s="67"/>
    </row>
    <row r="978">
      <c r="A978" s="66"/>
      <c r="B978" s="66"/>
      <c r="C978" s="66"/>
      <c r="D978" s="66"/>
      <c r="E978" s="66"/>
      <c r="F978" s="67"/>
    </row>
    <row r="979">
      <c r="A979" s="66"/>
      <c r="B979" s="66"/>
      <c r="C979" s="66"/>
      <c r="D979" s="66"/>
      <c r="E979" s="66"/>
      <c r="F979" s="67"/>
    </row>
    <row r="980">
      <c r="A980" s="66"/>
      <c r="B980" s="66"/>
      <c r="C980" s="66"/>
      <c r="D980" s="66"/>
      <c r="E980" s="66"/>
      <c r="F980" s="67"/>
    </row>
    <row r="981">
      <c r="A981" s="66"/>
      <c r="B981" s="66"/>
      <c r="C981" s="66"/>
      <c r="D981" s="66"/>
      <c r="E981" s="66"/>
      <c r="F981" s="67"/>
    </row>
    <row r="982">
      <c r="A982" s="66"/>
      <c r="B982" s="66"/>
      <c r="C982" s="66"/>
      <c r="D982" s="66"/>
      <c r="E982" s="66"/>
      <c r="F982" s="67"/>
    </row>
    <row r="983">
      <c r="A983" s="66"/>
      <c r="B983" s="66"/>
      <c r="C983" s="66"/>
      <c r="D983" s="66"/>
      <c r="E983" s="66"/>
      <c r="F983" s="67"/>
    </row>
    <row r="984">
      <c r="A984" s="66"/>
      <c r="B984" s="66"/>
      <c r="C984" s="66"/>
      <c r="D984" s="66"/>
      <c r="E984" s="66"/>
      <c r="F984" s="67"/>
    </row>
    <row r="985">
      <c r="A985" s="66"/>
      <c r="B985" s="66"/>
      <c r="C985" s="66"/>
      <c r="D985" s="66"/>
      <c r="E985" s="66"/>
      <c r="F985" s="67"/>
    </row>
    <row r="986">
      <c r="A986" s="66"/>
      <c r="B986" s="66"/>
      <c r="C986" s="66"/>
      <c r="D986" s="66"/>
      <c r="E986" s="66"/>
      <c r="F986" s="67"/>
    </row>
    <row r="987">
      <c r="A987" s="66"/>
      <c r="B987" s="66"/>
      <c r="C987" s="66"/>
      <c r="D987" s="66"/>
      <c r="E987" s="66"/>
      <c r="F987" s="67"/>
    </row>
    <row r="988">
      <c r="A988" s="66"/>
      <c r="B988" s="66"/>
      <c r="C988" s="66"/>
      <c r="D988" s="66"/>
      <c r="E988" s="66"/>
      <c r="F988" s="67"/>
    </row>
    <row r="989">
      <c r="A989" s="66"/>
      <c r="B989" s="66"/>
      <c r="C989" s="66"/>
      <c r="D989" s="66"/>
      <c r="E989" s="66"/>
      <c r="F989" s="67"/>
    </row>
    <row r="990">
      <c r="A990" s="66"/>
      <c r="B990" s="66"/>
      <c r="C990" s="66"/>
      <c r="D990" s="66"/>
      <c r="E990" s="66"/>
      <c r="F990" s="67"/>
    </row>
    <row r="991">
      <c r="A991" s="66"/>
      <c r="B991" s="66"/>
      <c r="C991" s="66"/>
      <c r="D991" s="66"/>
      <c r="E991" s="66"/>
      <c r="F991" s="67"/>
    </row>
    <row r="992">
      <c r="A992" s="66"/>
      <c r="B992" s="66"/>
      <c r="C992" s="66"/>
      <c r="D992" s="66"/>
      <c r="E992" s="66"/>
      <c r="F992" s="67"/>
    </row>
    <row r="993">
      <c r="A993" s="66"/>
      <c r="B993" s="66"/>
      <c r="C993" s="66"/>
      <c r="D993" s="66"/>
      <c r="E993" s="66"/>
      <c r="F993" s="67"/>
    </row>
    <row r="994">
      <c r="A994" s="66"/>
      <c r="B994" s="66"/>
      <c r="C994" s="66"/>
      <c r="D994" s="66"/>
      <c r="E994" s="66"/>
      <c r="F994" s="67"/>
    </row>
    <row r="995">
      <c r="A995" s="66"/>
      <c r="B995" s="66"/>
      <c r="C995" s="66"/>
      <c r="D995" s="66"/>
      <c r="E995" s="66"/>
      <c r="F995" s="67"/>
    </row>
    <row r="996">
      <c r="A996" s="66"/>
      <c r="B996" s="66"/>
      <c r="C996" s="66"/>
      <c r="D996" s="66"/>
      <c r="E996" s="66"/>
      <c r="F996" s="67"/>
    </row>
    <row r="997">
      <c r="A997" s="66"/>
      <c r="B997" s="66"/>
      <c r="C997" s="66"/>
      <c r="D997" s="66"/>
      <c r="E997" s="66"/>
      <c r="F997" s="67"/>
    </row>
    <row r="998">
      <c r="A998" s="66"/>
      <c r="B998" s="66"/>
      <c r="C998" s="66"/>
      <c r="D998" s="66"/>
      <c r="E998" s="66"/>
      <c r="F998" s="67"/>
    </row>
    <row r="999">
      <c r="A999" s="66"/>
      <c r="B999" s="66"/>
      <c r="C999" s="66"/>
      <c r="D999" s="66"/>
      <c r="E999" s="66"/>
      <c r="F999" s="67"/>
    </row>
    <row r="1000">
      <c r="A1000" s="66"/>
      <c r="B1000" s="66"/>
      <c r="C1000" s="66"/>
      <c r="D1000" s="66"/>
      <c r="E1000" s="66"/>
      <c r="F1000" s="67"/>
    </row>
  </sheetData>
  <mergeCells count="2">
    <mergeCell ref="A1:F1"/>
    <mergeCell ref="A9:B9"/>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9.0"/>
  </cols>
  <sheetData>
    <row r="1">
      <c r="A1" s="68" t="s">
        <v>2060</v>
      </c>
    </row>
    <row r="3">
      <c r="A3" s="69" t="s">
        <v>2061</v>
      </c>
    </row>
    <row r="4">
      <c r="A4" s="70" t="s">
        <v>0</v>
      </c>
      <c r="B4" s="70" t="s">
        <v>2062</v>
      </c>
      <c r="C4" s="70" t="s">
        <v>2063</v>
      </c>
      <c r="D4" s="70" t="s">
        <v>2043</v>
      </c>
      <c r="E4" s="70" t="s">
        <v>2064</v>
      </c>
      <c r="F4" s="70" t="s">
        <v>2065</v>
      </c>
      <c r="G4" s="70" t="s">
        <v>2066</v>
      </c>
      <c r="H4" s="70" t="s">
        <v>2067</v>
      </c>
    </row>
    <row r="5">
      <c r="A5" s="71">
        <v>1.0</v>
      </c>
      <c r="B5" s="72" t="s">
        <v>2068</v>
      </c>
      <c r="C5" s="73">
        <v>109.0</v>
      </c>
      <c r="D5" s="74" t="s">
        <v>2069</v>
      </c>
      <c r="E5" s="75" t="s">
        <v>2070</v>
      </c>
      <c r="F5" s="75" t="s">
        <v>2071</v>
      </c>
      <c r="G5" s="76" t="s">
        <v>2072</v>
      </c>
      <c r="H5" s="77" t="s">
        <v>2073</v>
      </c>
    </row>
    <row r="6">
      <c r="A6" s="78">
        <v>2.0</v>
      </c>
      <c r="B6" s="79" t="s">
        <v>2074</v>
      </c>
      <c r="C6" s="80">
        <v>92.0</v>
      </c>
      <c r="D6" s="81" t="s">
        <v>2075</v>
      </c>
      <c r="E6" s="82" t="s">
        <v>2076</v>
      </c>
      <c r="F6" s="82" t="s">
        <v>2077</v>
      </c>
      <c r="G6" s="83" t="s">
        <v>2078</v>
      </c>
      <c r="H6" s="84" t="s">
        <v>2079</v>
      </c>
    </row>
    <row r="7">
      <c r="A7" s="71">
        <v>3.0</v>
      </c>
      <c r="B7" s="72" t="s">
        <v>2080</v>
      </c>
      <c r="C7" s="73">
        <v>60.0</v>
      </c>
      <c r="D7" s="74" t="s">
        <v>2081</v>
      </c>
      <c r="E7" s="75" t="s">
        <v>2082</v>
      </c>
      <c r="F7" s="75" t="s">
        <v>2083</v>
      </c>
      <c r="G7" s="76" t="s">
        <v>2084</v>
      </c>
      <c r="H7" s="77" t="s">
        <v>2085</v>
      </c>
    </row>
    <row r="8">
      <c r="A8" s="78">
        <v>4.0</v>
      </c>
      <c r="B8" s="79" t="s">
        <v>2086</v>
      </c>
      <c r="C8" s="80">
        <v>54.0</v>
      </c>
      <c r="D8" s="81" t="s">
        <v>2087</v>
      </c>
      <c r="E8" s="82" t="s">
        <v>2088</v>
      </c>
      <c r="F8" s="82" t="s">
        <v>2089</v>
      </c>
      <c r="G8" s="83" t="s">
        <v>2090</v>
      </c>
      <c r="H8" s="84" t="s">
        <v>2091</v>
      </c>
    </row>
    <row r="9">
      <c r="A9" s="71">
        <v>5.0</v>
      </c>
      <c r="B9" s="72" t="s">
        <v>2092</v>
      </c>
      <c r="C9" s="73">
        <v>8.0</v>
      </c>
      <c r="D9" s="74" t="s">
        <v>2093</v>
      </c>
      <c r="E9" s="75" t="s">
        <v>2094</v>
      </c>
      <c r="F9" s="75" t="s">
        <v>2095</v>
      </c>
      <c r="G9" s="76" t="s">
        <v>2096</v>
      </c>
      <c r="H9" s="77" t="s">
        <v>2097</v>
      </c>
    </row>
    <row r="10">
      <c r="A10" s="78">
        <v>6.0</v>
      </c>
      <c r="B10" s="79" t="s">
        <v>2098</v>
      </c>
      <c r="C10" s="80">
        <v>7.0</v>
      </c>
      <c r="D10" s="81" t="s">
        <v>2099</v>
      </c>
      <c r="E10" s="82" t="s">
        <v>2100</v>
      </c>
      <c r="F10" s="82" t="s">
        <v>2101</v>
      </c>
      <c r="G10" s="83" t="s">
        <v>2102</v>
      </c>
      <c r="H10" s="84" t="s">
        <v>2103</v>
      </c>
    </row>
    <row r="11">
      <c r="A11" s="71">
        <v>7.0</v>
      </c>
      <c r="B11" s="72" t="s">
        <v>2104</v>
      </c>
      <c r="C11" s="73">
        <v>3.0</v>
      </c>
      <c r="D11" s="74" t="s">
        <v>2105</v>
      </c>
      <c r="E11" s="75" t="s">
        <v>2106</v>
      </c>
      <c r="F11" s="75" t="s">
        <v>2107</v>
      </c>
      <c r="G11" s="76" t="s">
        <v>2108</v>
      </c>
      <c r="H11" s="77" t="s">
        <v>2109</v>
      </c>
    </row>
    <row r="12">
      <c r="A12" s="78">
        <v>8.0</v>
      </c>
      <c r="B12" s="79" t="s">
        <v>2110</v>
      </c>
      <c r="C12" s="80">
        <v>1.0</v>
      </c>
      <c r="D12" s="81" t="s">
        <v>2111</v>
      </c>
      <c r="E12" s="82" t="s">
        <v>2112</v>
      </c>
      <c r="F12" s="82" t="s">
        <v>2113</v>
      </c>
      <c r="G12" s="83" t="s">
        <v>2114</v>
      </c>
      <c r="H12" s="84" t="s">
        <v>2115</v>
      </c>
    </row>
    <row r="13">
      <c r="A13" s="71">
        <v>9.0</v>
      </c>
      <c r="B13" s="72" t="s">
        <v>2116</v>
      </c>
      <c r="C13" s="73">
        <v>1.0</v>
      </c>
      <c r="D13" s="74" t="s">
        <v>2111</v>
      </c>
      <c r="E13" s="75" t="s">
        <v>2117</v>
      </c>
      <c r="F13" s="75" t="s">
        <v>2118</v>
      </c>
      <c r="G13" s="76" t="s">
        <v>2119</v>
      </c>
      <c r="H13" s="77" t="s">
        <v>2120</v>
      </c>
    </row>
    <row r="14">
      <c r="A14" s="78">
        <v>10.0</v>
      </c>
      <c r="B14" s="79" t="s">
        <v>2121</v>
      </c>
      <c r="C14" s="80">
        <v>8.0</v>
      </c>
      <c r="D14" s="81" t="s">
        <v>2093</v>
      </c>
      <c r="E14" s="82" t="s">
        <v>2122</v>
      </c>
      <c r="F14" s="82" t="s">
        <v>2123</v>
      </c>
      <c r="G14" s="83" t="s">
        <v>2124</v>
      </c>
      <c r="H14" s="84" t="s">
        <v>2125</v>
      </c>
    </row>
    <row r="15">
      <c r="A15" s="85" t="s">
        <v>2126</v>
      </c>
      <c r="B15" s="62"/>
      <c r="C15" s="86">
        <v>343.0</v>
      </c>
      <c r="D15" s="87"/>
      <c r="E15" s="87"/>
      <c r="F15" s="87"/>
      <c r="G15" s="87"/>
      <c r="H15" s="62"/>
    </row>
    <row r="16">
      <c r="A16" s="88"/>
      <c r="B16" s="88"/>
      <c r="C16" s="88"/>
      <c r="D16" s="88"/>
      <c r="E16" s="88"/>
      <c r="F16" s="88"/>
      <c r="G16" s="88"/>
      <c r="H16" s="88"/>
    </row>
    <row r="17">
      <c r="A17" s="69" t="s">
        <v>2127</v>
      </c>
    </row>
    <row r="18">
      <c r="A18" s="70" t="s">
        <v>0</v>
      </c>
      <c r="B18" s="70" t="s">
        <v>2128</v>
      </c>
      <c r="C18" s="70" t="s">
        <v>2129</v>
      </c>
      <c r="D18" s="70" t="s">
        <v>2130</v>
      </c>
      <c r="E18" s="70" t="s">
        <v>2131</v>
      </c>
      <c r="F18" s="70" t="s">
        <v>2132</v>
      </c>
      <c r="G18" s="70" t="s">
        <v>2133</v>
      </c>
      <c r="H18" s="70" t="s">
        <v>11</v>
      </c>
    </row>
    <row r="19">
      <c r="A19" s="74">
        <v>1.0</v>
      </c>
      <c r="B19" s="89" t="s">
        <v>2134</v>
      </c>
      <c r="C19" s="75" t="s">
        <v>2135</v>
      </c>
      <c r="D19" s="75" t="s">
        <v>2136</v>
      </c>
      <c r="E19" s="76" t="s">
        <v>2137</v>
      </c>
      <c r="F19" s="90" t="s">
        <v>2138</v>
      </c>
      <c r="G19" s="77" t="s">
        <v>2139</v>
      </c>
      <c r="H19" s="91" t="s">
        <v>45</v>
      </c>
    </row>
    <row r="20">
      <c r="A20" s="81">
        <v>2.0</v>
      </c>
      <c r="B20" s="92" t="s">
        <v>2140</v>
      </c>
      <c r="C20" s="82" t="s">
        <v>2141</v>
      </c>
      <c r="D20" s="82" t="s">
        <v>2142</v>
      </c>
      <c r="E20" s="83" t="s">
        <v>2143</v>
      </c>
      <c r="F20" s="93" t="s">
        <v>2138</v>
      </c>
      <c r="G20" s="84" t="s">
        <v>2144</v>
      </c>
      <c r="H20" s="94" t="s">
        <v>45</v>
      </c>
    </row>
    <row r="21">
      <c r="A21" s="74">
        <v>3.0</v>
      </c>
      <c r="B21" s="89" t="s">
        <v>2145</v>
      </c>
      <c r="C21" s="75" t="s">
        <v>2146</v>
      </c>
      <c r="D21" s="75" t="s">
        <v>2147</v>
      </c>
      <c r="E21" s="76" t="s">
        <v>2148</v>
      </c>
      <c r="F21" s="90" t="s">
        <v>2138</v>
      </c>
      <c r="G21" s="77" t="s">
        <v>2149</v>
      </c>
      <c r="H21" s="91" t="s">
        <v>45</v>
      </c>
    </row>
    <row r="22">
      <c r="A22" s="81">
        <v>4.0</v>
      </c>
      <c r="B22" s="92" t="s">
        <v>2150</v>
      </c>
      <c r="C22" s="82" t="s">
        <v>2151</v>
      </c>
      <c r="D22" s="82" t="s">
        <v>2152</v>
      </c>
      <c r="E22" s="83" t="s">
        <v>2153</v>
      </c>
      <c r="F22" s="93" t="s">
        <v>2138</v>
      </c>
      <c r="G22" s="84" t="s">
        <v>2154</v>
      </c>
      <c r="H22" s="94" t="s">
        <v>45</v>
      </c>
    </row>
    <row r="23">
      <c r="A23" s="74">
        <v>5.0</v>
      </c>
      <c r="B23" s="89" t="s">
        <v>2155</v>
      </c>
      <c r="C23" s="75" t="s">
        <v>2156</v>
      </c>
      <c r="D23" s="75" t="s">
        <v>2157</v>
      </c>
      <c r="E23" s="76" t="s">
        <v>2158</v>
      </c>
      <c r="F23" s="90" t="s">
        <v>2138</v>
      </c>
      <c r="G23" s="77" t="s">
        <v>2159</v>
      </c>
      <c r="H23" s="95" t="s">
        <v>25</v>
      </c>
    </row>
    <row r="24">
      <c r="A24" s="81">
        <v>6.0</v>
      </c>
      <c r="B24" s="92" t="s">
        <v>2160</v>
      </c>
      <c r="C24" s="82" t="s">
        <v>2161</v>
      </c>
      <c r="D24" s="82" t="s">
        <v>2162</v>
      </c>
      <c r="E24" s="83" t="s">
        <v>2163</v>
      </c>
      <c r="F24" s="93" t="s">
        <v>2164</v>
      </c>
      <c r="G24" s="84" t="s">
        <v>2165</v>
      </c>
      <c r="H24" s="94" t="s">
        <v>45</v>
      </c>
    </row>
    <row r="25">
      <c r="A25" s="74">
        <v>7.0</v>
      </c>
      <c r="B25" s="89" t="s">
        <v>2166</v>
      </c>
      <c r="C25" s="75" t="s">
        <v>2167</v>
      </c>
      <c r="D25" s="75" t="s">
        <v>2168</v>
      </c>
      <c r="E25" s="76" t="s">
        <v>2169</v>
      </c>
      <c r="F25" s="95" t="s">
        <v>2170</v>
      </c>
      <c r="G25" s="77" t="s">
        <v>2171</v>
      </c>
      <c r="H25" s="95" t="s">
        <v>25</v>
      </c>
    </row>
    <row r="26">
      <c r="A26" s="81">
        <v>8.0</v>
      </c>
      <c r="B26" s="92" t="s">
        <v>2172</v>
      </c>
      <c r="C26" s="82" t="s">
        <v>2173</v>
      </c>
      <c r="D26" s="82" t="s">
        <v>2174</v>
      </c>
      <c r="E26" s="83" t="s">
        <v>2175</v>
      </c>
      <c r="F26" s="93" t="s">
        <v>2138</v>
      </c>
      <c r="G26" s="84" t="s">
        <v>2176</v>
      </c>
      <c r="H26" s="94" t="s">
        <v>45</v>
      </c>
    </row>
    <row r="27">
      <c r="A27" s="88"/>
      <c r="B27" s="88"/>
      <c r="C27" s="88"/>
      <c r="D27" s="88"/>
      <c r="E27" s="88"/>
      <c r="F27" s="88"/>
      <c r="G27" s="88"/>
      <c r="H27" s="88"/>
    </row>
    <row r="28">
      <c r="A28" s="69" t="s">
        <v>2177</v>
      </c>
    </row>
    <row r="29">
      <c r="A29" s="70" t="s">
        <v>0</v>
      </c>
      <c r="B29" s="70" t="s">
        <v>2178</v>
      </c>
      <c r="C29" s="70" t="s">
        <v>2179</v>
      </c>
      <c r="D29" s="70" t="s">
        <v>5</v>
      </c>
      <c r="E29" s="70" t="s">
        <v>2180</v>
      </c>
      <c r="F29" s="88"/>
      <c r="G29" s="88"/>
      <c r="H29" s="88"/>
    </row>
    <row r="30">
      <c r="A30" s="96">
        <v>1.0</v>
      </c>
      <c r="B30" s="97" t="s">
        <v>2181</v>
      </c>
      <c r="C30" s="98" t="s">
        <v>2182</v>
      </c>
      <c r="D30" s="98" t="s">
        <v>2183</v>
      </c>
      <c r="E30" s="99" t="s">
        <v>2184</v>
      </c>
      <c r="F30" s="88"/>
      <c r="G30" s="88"/>
      <c r="H30" s="88"/>
    </row>
    <row r="31">
      <c r="A31" s="100">
        <v>2.0</v>
      </c>
      <c r="B31" s="101" t="s">
        <v>2185</v>
      </c>
      <c r="C31" s="102" t="s">
        <v>2182</v>
      </c>
      <c r="D31" s="102" t="s">
        <v>2186</v>
      </c>
      <c r="E31" s="103" t="s">
        <v>2187</v>
      </c>
      <c r="F31" s="88"/>
      <c r="G31" s="88"/>
      <c r="H31" s="88"/>
    </row>
    <row r="32">
      <c r="A32" s="96">
        <v>3.0</v>
      </c>
      <c r="B32" s="97" t="s">
        <v>2188</v>
      </c>
      <c r="C32" s="98" t="s">
        <v>2189</v>
      </c>
      <c r="D32" s="98" t="s">
        <v>2190</v>
      </c>
      <c r="E32" s="99" t="s">
        <v>2191</v>
      </c>
      <c r="F32" s="88"/>
      <c r="G32" s="88"/>
      <c r="H32" s="88"/>
    </row>
    <row r="33">
      <c r="A33" s="100">
        <v>4.0</v>
      </c>
      <c r="B33" s="101" t="s">
        <v>2192</v>
      </c>
      <c r="C33" s="102" t="s">
        <v>2193</v>
      </c>
      <c r="D33" s="102" t="s">
        <v>2194</v>
      </c>
      <c r="E33" s="103" t="s">
        <v>2195</v>
      </c>
      <c r="F33" s="88"/>
      <c r="G33" s="88"/>
      <c r="H33" s="88"/>
    </row>
    <row r="34">
      <c r="A34" s="88"/>
      <c r="B34" s="88"/>
      <c r="C34" s="88"/>
      <c r="D34" s="88"/>
      <c r="E34" s="88"/>
      <c r="F34" s="88"/>
      <c r="G34" s="88"/>
      <c r="H34" s="88"/>
    </row>
    <row r="35">
      <c r="A35" s="69" t="s">
        <v>2196</v>
      </c>
    </row>
    <row r="36">
      <c r="A36" s="104" t="s">
        <v>2197</v>
      </c>
      <c r="B36" s="105" t="s">
        <v>2198</v>
      </c>
      <c r="C36" s="106"/>
      <c r="D36" s="106"/>
      <c r="E36" s="106"/>
      <c r="F36" s="106"/>
      <c r="G36" s="106"/>
      <c r="H36" s="107"/>
    </row>
    <row r="37">
      <c r="A37" s="108" t="s">
        <v>2199</v>
      </c>
      <c r="B37" s="109" t="s">
        <v>2200</v>
      </c>
      <c r="C37" s="87"/>
      <c r="D37" s="87"/>
      <c r="E37" s="87"/>
      <c r="F37" s="87"/>
      <c r="G37" s="87"/>
      <c r="H37" s="62"/>
    </row>
    <row r="38">
      <c r="A38" s="110" t="s">
        <v>2201</v>
      </c>
      <c r="B38" s="111" t="s">
        <v>2202</v>
      </c>
      <c r="C38" s="87"/>
      <c r="D38" s="87"/>
      <c r="E38" s="87"/>
      <c r="F38" s="87"/>
      <c r="G38" s="87"/>
      <c r="H38" s="62"/>
    </row>
    <row r="39">
      <c r="A39" s="108" t="s">
        <v>2203</v>
      </c>
      <c r="B39" s="109" t="s">
        <v>2204</v>
      </c>
      <c r="C39" s="87"/>
      <c r="D39" s="87"/>
      <c r="E39" s="87"/>
      <c r="F39" s="87"/>
      <c r="G39" s="87"/>
      <c r="H39" s="62"/>
    </row>
    <row r="40">
      <c r="A40" s="110" t="s">
        <v>2205</v>
      </c>
      <c r="B40" s="111" t="s">
        <v>2206</v>
      </c>
      <c r="C40" s="87"/>
      <c r="D40" s="87"/>
      <c r="E40" s="87"/>
      <c r="F40" s="87"/>
      <c r="G40" s="87"/>
      <c r="H40" s="62"/>
    </row>
    <row r="41">
      <c r="A41" s="108" t="s">
        <v>2207</v>
      </c>
      <c r="B41" s="109" t="s">
        <v>2208</v>
      </c>
      <c r="C41" s="87"/>
      <c r="D41" s="87"/>
      <c r="E41" s="87"/>
      <c r="F41" s="87"/>
      <c r="G41" s="87"/>
      <c r="H41" s="62"/>
    </row>
    <row r="42">
      <c r="A42" s="110" t="s">
        <v>2209</v>
      </c>
      <c r="B42" s="111" t="s">
        <v>2210</v>
      </c>
      <c r="C42" s="87"/>
      <c r="D42" s="87"/>
      <c r="E42" s="87"/>
      <c r="F42" s="87"/>
      <c r="G42" s="87"/>
      <c r="H42" s="62"/>
    </row>
    <row r="43">
      <c r="A43" s="108" t="s">
        <v>2211</v>
      </c>
      <c r="B43" s="109" t="s">
        <v>2212</v>
      </c>
      <c r="C43" s="87"/>
      <c r="D43" s="87"/>
      <c r="E43" s="87"/>
      <c r="F43" s="87"/>
      <c r="G43" s="87"/>
      <c r="H43" s="62"/>
    </row>
    <row r="44">
      <c r="A44" s="110" t="s">
        <v>2213</v>
      </c>
      <c r="B44" s="111" t="s">
        <v>2214</v>
      </c>
      <c r="C44" s="87"/>
      <c r="D44" s="87"/>
      <c r="E44" s="87"/>
      <c r="F44" s="87"/>
      <c r="G44" s="87"/>
      <c r="H44" s="62"/>
    </row>
    <row r="45">
      <c r="A45" s="112" t="s">
        <v>2215</v>
      </c>
    </row>
    <row r="46">
      <c r="A46" s="113"/>
      <c r="B46" s="113"/>
      <c r="C46" s="113"/>
      <c r="D46" s="113"/>
      <c r="E46" s="113"/>
      <c r="F46" s="113"/>
      <c r="G46" s="113"/>
      <c r="H46" s="113"/>
    </row>
    <row r="47">
      <c r="A47" s="113"/>
      <c r="B47" s="113"/>
      <c r="C47" s="113"/>
      <c r="D47" s="113"/>
      <c r="E47" s="113"/>
      <c r="F47" s="113"/>
      <c r="G47" s="113"/>
      <c r="H47" s="113"/>
    </row>
    <row r="48">
      <c r="A48" s="113"/>
      <c r="B48" s="113"/>
      <c r="C48" s="113"/>
      <c r="D48" s="113"/>
      <c r="E48" s="113"/>
      <c r="F48" s="113"/>
      <c r="G48" s="113"/>
      <c r="H48" s="113"/>
    </row>
    <row r="49">
      <c r="A49" s="113"/>
      <c r="B49" s="113"/>
      <c r="C49" s="113"/>
      <c r="D49" s="113"/>
      <c r="E49" s="113"/>
      <c r="F49" s="113"/>
      <c r="G49" s="113"/>
      <c r="H49" s="113"/>
    </row>
    <row r="50">
      <c r="A50" s="113"/>
      <c r="B50" s="113"/>
      <c r="C50" s="113"/>
      <c r="D50" s="113"/>
      <c r="E50" s="113"/>
      <c r="F50" s="113"/>
      <c r="G50" s="113"/>
      <c r="H50" s="113"/>
    </row>
    <row r="51">
      <c r="A51" s="113"/>
      <c r="B51" s="113"/>
      <c r="C51" s="113"/>
      <c r="D51" s="113"/>
      <c r="E51" s="113"/>
      <c r="F51" s="113"/>
      <c r="G51" s="113"/>
      <c r="H51" s="113"/>
    </row>
    <row r="52">
      <c r="A52" s="113"/>
      <c r="B52" s="113"/>
      <c r="C52" s="113"/>
      <c r="D52" s="113"/>
      <c r="E52" s="113"/>
      <c r="F52" s="113"/>
      <c r="G52" s="113"/>
      <c r="H52" s="113"/>
    </row>
    <row r="53">
      <c r="A53" s="113"/>
      <c r="B53" s="113"/>
      <c r="C53" s="113"/>
      <c r="D53" s="113"/>
      <c r="E53" s="113"/>
      <c r="F53" s="113"/>
      <c r="G53" s="113"/>
      <c r="H53" s="113"/>
    </row>
    <row r="54">
      <c r="A54" s="113"/>
      <c r="B54" s="113"/>
      <c r="C54" s="113"/>
      <c r="D54" s="113"/>
      <c r="E54" s="113"/>
      <c r="F54" s="113"/>
      <c r="G54" s="113"/>
      <c r="H54" s="113"/>
    </row>
    <row r="55">
      <c r="A55" s="113"/>
      <c r="B55" s="113"/>
      <c r="C55" s="113"/>
      <c r="D55" s="113"/>
      <c r="E55" s="113"/>
      <c r="F55" s="113"/>
      <c r="G55" s="113"/>
      <c r="H55" s="113"/>
    </row>
    <row r="56">
      <c r="A56" s="113"/>
      <c r="B56" s="113"/>
      <c r="C56" s="113"/>
      <c r="D56" s="113"/>
      <c r="E56" s="113"/>
      <c r="F56" s="113"/>
      <c r="G56" s="113"/>
      <c r="H56" s="113"/>
    </row>
    <row r="57">
      <c r="A57" s="113"/>
      <c r="B57" s="113"/>
      <c r="C57" s="113"/>
      <c r="D57" s="113"/>
      <c r="E57" s="113"/>
      <c r="F57" s="113"/>
      <c r="G57" s="113"/>
      <c r="H57" s="113"/>
    </row>
    <row r="58">
      <c r="A58" s="113"/>
      <c r="B58" s="113"/>
      <c r="C58" s="113"/>
      <c r="D58" s="113"/>
      <c r="E58" s="113"/>
      <c r="F58" s="113"/>
      <c r="G58" s="113"/>
      <c r="H58" s="113"/>
    </row>
    <row r="59">
      <c r="A59" s="113"/>
      <c r="B59" s="113"/>
      <c r="C59" s="113"/>
      <c r="D59" s="113"/>
      <c r="E59" s="113"/>
      <c r="F59" s="113"/>
      <c r="G59" s="113"/>
      <c r="H59" s="113"/>
    </row>
    <row r="60">
      <c r="A60" s="113"/>
      <c r="B60" s="113"/>
      <c r="C60" s="113"/>
      <c r="D60" s="113"/>
      <c r="E60" s="113"/>
      <c r="F60" s="113"/>
      <c r="G60" s="113"/>
      <c r="H60" s="113"/>
    </row>
    <row r="61">
      <c r="A61" s="113"/>
      <c r="B61" s="113"/>
      <c r="C61" s="113"/>
      <c r="D61" s="113"/>
      <c r="E61" s="113"/>
      <c r="F61" s="113"/>
      <c r="G61" s="113"/>
      <c r="H61" s="113"/>
    </row>
    <row r="62">
      <c r="A62" s="113"/>
      <c r="B62" s="113"/>
      <c r="C62" s="113"/>
      <c r="D62" s="113"/>
      <c r="E62" s="113"/>
      <c r="F62" s="113"/>
      <c r="G62" s="113"/>
      <c r="H62" s="113"/>
    </row>
    <row r="63">
      <c r="A63" s="113"/>
      <c r="B63" s="113"/>
      <c r="C63" s="113"/>
      <c r="D63" s="113"/>
      <c r="E63" s="113"/>
      <c r="F63" s="113"/>
      <c r="G63" s="113"/>
      <c r="H63" s="113"/>
    </row>
    <row r="64">
      <c r="A64" s="113"/>
      <c r="B64" s="113"/>
      <c r="C64" s="113"/>
      <c r="D64" s="113"/>
      <c r="E64" s="113"/>
      <c r="F64" s="113"/>
      <c r="G64" s="113"/>
      <c r="H64" s="113"/>
    </row>
    <row r="65">
      <c r="A65" s="113"/>
      <c r="B65" s="113"/>
      <c r="C65" s="113"/>
      <c r="D65" s="113"/>
      <c r="E65" s="113"/>
      <c r="F65" s="113"/>
      <c r="G65" s="113"/>
      <c r="H65" s="113"/>
    </row>
    <row r="66">
      <c r="A66" s="113"/>
      <c r="B66" s="113"/>
      <c r="C66" s="113"/>
      <c r="D66" s="113"/>
      <c r="E66" s="113"/>
      <c r="F66" s="113"/>
      <c r="G66" s="113"/>
      <c r="H66" s="113"/>
    </row>
    <row r="67">
      <c r="A67" s="113"/>
      <c r="B67" s="113"/>
      <c r="C67" s="113"/>
      <c r="D67" s="113"/>
      <c r="E67" s="113"/>
      <c r="F67" s="113"/>
      <c r="G67" s="113"/>
      <c r="H67" s="113"/>
    </row>
    <row r="68">
      <c r="A68" s="113"/>
      <c r="B68" s="113"/>
      <c r="C68" s="113"/>
      <c r="D68" s="113"/>
      <c r="E68" s="113"/>
      <c r="F68" s="113"/>
      <c r="G68" s="113"/>
      <c r="H68" s="113"/>
    </row>
    <row r="69">
      <c r="A69" s="113"/>
      <c r="B69" s="113"/>
      <c r="C69" s="113"/>
      <c r="D69" s="113"/>
      <c r="E69" s="113"/>
      <c r="F69" s="113"/>
      <c r="G69" s="113"/>
      <c r="H69" s="113"/>
    </row>
    <row r="70">
      <c r="A70" s="113"/>
      <c r="B70" s="113"/>
      <c r="C70" s="113"/>
      <c r="D70" s="113"/>
      <c r="E70" s="113"/>
      <c r="F70" s="113"/>
      <c r="G70" s="113"/>
      <c r="H70" s="113"/>
    </row>
    <row r="71">
      <c r="A71" s="113"/>
      <c r="B71" s="113"/>
      <c r="C71" s="113"/>
      <c r="D71" s="113"/>
      <c r="E71" s="113"/>
      <c r="F71" s="113"/>
      <c r="G71" s="113"/>
      <c r="H71" s="113"/>
    </row>
    <row r="72">
      <c r="A72" s="113"/>
      <c r="B72" s="113"/>
      <c r="C72" s="113"/>
      <c r="D72" s="113"/>
      <c r="E72" s="113"/>
      <c r="F72" s="113"/>
      <c r="G72" s="113"/>
      <c r="H72" s="113"/>
    </row>
    <row r="73">
      <c r="A73" s="113"/>
      <c r="B73" s="113"/>
      <c r="C73" s="113"/>
      <c r="D73" s="113"/>
      <c r="E73" s="113"/>
      <c r="F73" s="113"/>
      <c r="G73" s="113"/>
      <c r="H73" s="113"/>
    </row>
    <row r="74">
      <c r="A74" s="113"/>
      <c r="B74" s="113"/>
      <c r="C74" s="113"/>
      <c r="D74" s="113"/>
      <c r="E74" s="113"/>
      <c r="F74" s="113"/>
      <c r="G74" s="113"/>
      <c r="H74" s="113"/>
    </row>
    <row r="75">
      <c r="A75" s="113"/>
      <c r="B75" s="113"/>
      <c r="C75" s="113"/>
      <c r="D75" s="113"/>
      <c r="E75" s="113"/>
      <c r="F75" s="113"/>
      <c r="G75" s="113"/>
      <c r="H75" s="113"/>
    </row>
    <row r="76">
      <c r="A76" s="113"/>
      <c r="B76" s="113"/>
      <c r="C76" s="113"/>
      <c r="D76" s="113"/>
      <c r="E76" s="113"/>
      <c r="F76" s="113"/>
      <c r="G76" s="113"/>
      <c r="H76" s="113"/>
    </row>
    <row r="77">
      <c r="A77" s="113"/>
      <c r="B77" s="113"/>
      <c r="C77" s="113"/>
      <c r="D77" s="113"/>
      <c r="E77" s="113"/>
      <c r="F77" s="113"/>
      <c r="G77" s="113"/>
      <c r="H77" s="113"/>
    </row>
    <row r="78">
      <c r="A78" s="113"/>
      <c r="B78" s="113"/>
      <c r="C78" s="113"/>
      <c r="D78" s="113"/>
      <c r="E78" s="113"/>
      <c r="F78" s="113"/>
      <c r="G78" s="113"/>
      <c r="H78" s="113"/>
    </row>
    <row r="79">
      <c r="A79" s="113"/>
      <c r="B79" s="113"/>
      <c r="C79" s="113"/>
      <c r="D79" s="113"/>
      <c r="E79" s="113"/>
      <c r="F79" s="113"/>
      <c r="G79" s="113"/>
      <c r="H79" s="113"/>
    </row>
    <row r="80">
      <c r="A80" s="113"/>
      <c r="B80" s="113"/>
      <c r="C80" s="113"/>
      <c r="D80" s="113"/>
      <c r="E80" s="113"/>
      <c r="F80" s="113"/>
      <c r="G80" s="113"/>
      <c r="H80" s="113"/>
    </row>
    <row r="81">
      <c r="A81" s="113"/>
      <c r="B81" s="113"/>
      <c r="C81" s="113"/>
      <c r="D81" s="113"/>
      <c r="E81" s="113"/>
      <c r="F81" s="113"/>
      <c r="G81" s="113"/>
      <c r="H81" s="113"/>
    </row>
    <row r="82">
      <c r="A82" s="113"/>
      <c r="B82" s="113"/>
      <c r="C82" s="113"/>
      <c r="D82" s="113"/>
      <c r="E82" s="113"/>
      <c r="F82" s="113"/>
      <c r="G82" s="113"/>
      <c r="H82" s="113"/>
    </row>
    <row r="83">
      <c r="A83" s="113"/>
      <c r="B83" s="113"/>
      <c r="C83" s="113"/>
      <c r="D83" s="113"/>
      <c r="E83" s="113"/>
      <c r="F83" s="113"/>
      <c r="G83" s="113"/>
      <c r="H83" s="113"/>
    </row>
    <row r="84">
      <c r="A84" s="113"/>
      <c r="B84" s="113"/>
      <c r="C84" s="113"/>
      <c r="D84" s="113"/>
      <c r="E84" s="113"/>
      <c r="F84" s="113"/>
      <c r="G84" s="113"/>
      <c r="H84" s="113"/>
    </row>
    <row r="85">
      <c r="A85" s="113"/>
      <c r="B85" s="113"/>
      <c r="C85" s="113"/>
      <c r="D85" s="113"/>
      <c r="E85" s="113"/>
      <c r="F85" s="113"/>
      <c r="G85" s="113"/>
      <c r="H85" s="113"/>
    </row>
    <row r="86">
      <c r="A86" s="113"/>
      <c r="B86" s="113"/>
      <c r="C86" s="113"/>
      <c r="D86" s="113"/>
      <c r="E86" s="113"/>
      <c r="F86" s="113"/>
      <c r="G86" s="113"/>
      <c r="H86" s="113"/>
    </row>
    <row r="87">
      <c r="A87" s="113"/>
      <c r="B87" s="113"/>
      <c r="C87" s="113"/>
      <c r="D87" s="113"/>
      <c r="E87" s="113"/>
      <c r="F87" s="113"/>
      <c r="G87" s="113"/>
      <c r="H87" s="113"/>
    </row>
    <row r="88">
      <c r="A88" s="113"/>
      <c r="B88" s="113"/>
      <c r="C88" s="113"/>
      <c r="D88" s="113"/>
      <c r="E88" s="113"/>
      <c r="F88" s="113"/>
      <c r="G88" s="113"/>
      <c r="H88" s="113"/>
    </row>
    <row r="89">
      <c r="A89" s="113"/>
      <c r="B89" s="113"/>
      <c r="C89" s="113"/>
      <c r="D89" s="113"/>
      <c r="E89" s="113"/>
      <c r="F89" s="113"/>
      <c r="G89" s="113"/>
      <c r="H89" s="113"/>
    </row>
    <row r="90">
      <c r="A90" s="113"/>
      <c r="B90" s="113"/>
      <c r="C90" s="113"/>
      <c r="D90" s="113"/>
      <c r="E90" s="113"/>
      <c r="F90" s="113"/>
      <c r="G90" s="113"/>
      <c r="H90" s="113"/>
    </row>
    <row r="91">
      <c r="A91" s="113"/>
      <c r="B91" s="113"/>
      <c r="C91" s="113"/>
      <c r="D91" s="113"/>
      <c r="E91" s="113"/>
      <c r="F91" s="113"/>
      <c r="G91" s="113"/>
      <c r="H91" s="113"/>
    </row>
    <row r="92">
      <c r="A92" s="113"/>
      <c r="B92" s="113"/>
      <c r="C92" s="113"/>
      <c r="D92" s="113"/>
      <c r="E92" s="113"/>
      <c r="F92" s="113"/>
      <c r="G92" s="113"/>
      <c r="H92" s="113"/>
    </row>
    <row r="93">
      <c r="A93" s="113"/>
      <c r="B93" s="113"/>
      <c r="C93" s="113"/>
      <c r="D93" s="113"/>
      <c r="E93" s="113"/>
      <c r="F93" s="113"/>
      <c r="G93" s="113"/>
      <c r="H93" s="113"/>
    </row>
    <row r="94">
      <c r="A94" s="113"/>
      <c r="B94" s="113"/>
      <c r="C94" s="113"/>
      <c r="D94" s="113"/>
      <c r="E94" s="113"/>
      <c r="F94" s="113"/>
      <c r="G94" s="113"/>
      <c r="H94" s="113"/>
    </row>
    <row r="95">
      <c r="A95" s="113"/>
      <c r="B95" s="113"/>
      <c r="C95" s="113"/>
      <c r="D95" s="113"/>
      <c r="E95" s="113"/>
      <c r="F95" s="113"/>
      <c r="G95" s="113"/>
      <c r="H95" s="113"/>
    </row>
    <row r="96">
      <c r="A96" s="113"/>
      <c r="B96" s="113"/>
      <c r="C96" s="113"/>
      <c r="D96" s="113"/>
      <c r="E96" s="113"/>
      <c r="F96" s="113"/>
      <c r="G96" s="113"/>
      <c r="H96" s="113"/>
    </row>
    <row r="97">
      <c r="A97" s="113"/>
      <c r="B97" s="113"/>
      <c r="C97" s="113"/>
      <c r="D97" s="113"/>
      <c r="E97" s="113"/>
      <c r="F97" s="113"/>
      <c r="G97" s="113"/>
      <c r="H97" s="113"/>
    </row>
    <row r="98">
      <c r="A98" s="113"/>
      <c r="B98" s="113"/>
      <c r="C98" s="113"/>
      <c r="D98" s="113"/>
      <c r="E98" s="113"/>
      <c r="F98" s="113"/>
      <c r="G98" s="113"/>
      <c r="H98" s="113"/>
    </row>
    <row r="99">
      <c r="A99" s="113"/>
      <c r="B99" s="113"/>
      <c r="C99" s="113"/>
      <c r="D99" s="113"/>
      <c r="E99" s="113"/>
      <c r="F99" s="113"/>
      <c r="G99" s="113"/>
      <c r="H99" s="113"/>
    </row>
    <row r="100">
      <c r="A100" s="113"/>
      <c r="B100" s="113"/>
      <c r="C100" s="113"/>
      <c r="D100" s="113"/>
      <c r="E100" s="113"/>
      <c r="F100" s="113"/>
      <c r="G100" s="113"/>
      <c r="H100" s="113"/>
    </row>
    <row r="101">
      <c r="A101" s="113"/>
      <c r="B101" s="113"/>
      <c r="C101" s="113"/>
      <c r="D101" s="113"/>
      <c r="E101" s="113"/>
      <c r="F101" s="113"/>
      <c r="G101" s="113"/>
      <c r="H101" s="113"/>
    </row>
    <row r="102">
      <c r="A102" s="113"/>
      <c r="B102" s="113"/>
      <c r="C102" s="113"/>
      <c r="D102" s="113"/>
      <c r="E102" s="113"/>
      <c r="F102" s="113"/>
      <c r="G102" s="113"/>
      <c r="H102" s="113"/>
    </row>
    <row r="103">
      <c r="A103" s="113"/>
      <c r="B103" s="113"/>
      <c r="C103" s="113"/>
      <c r="D103" s="113"/>
      <c r="E103" s="113"/>
      <c r="F103" s="113"/>
      <c r="G103" s="113"/>
      <c r="H103" s="113"/>
    </row>
    <row r="104">
      <c r="A104" s="113"/>
      <c r="B104" s="113"/>
      <c r="C104" s="113"/>
      <c r="D104" s="113"/>
      <c r="E104" s="113"/>
      <c r="F104" s="113"/>
      <c r="G104" s="113"/>
      <c r="H104" s="113"/>
    </row>
    <row r="105">
      <c r="A105" s="113"/>
      <c r="B105" s="113"/>
      <c r="C105" s="113"/>
      <c r="D105" s="113"/>
      <c r="E105" s="113"/>
      <c r="F105" s="113"/>
      <c r="G105" s="113"/>
      <c r="H105" s="113"/>
    </row>
    <row r="106">
      <c r="A106" s="113"/>
      <c r="B106" s="113"/>
      <c r="C106" s="113"/>
      <c r="D106" s="113"/>
      <c r="E106" s="113"/>
      <c r="F106" s="113"/>
      <c r="G106" s="113"/>
      <c r="H106" s="113"/>
    </row>
    <row r="107">
      <c r="A107" s="113"/>
      <c r="B107" s="113"/>
      <c r="C107" s="113"/>
      <c r="D107" s="113"/>
      <c r="E107" s="113"/>
      <c r="F107" s="113"/>
      <c r="G107" s="113"/>
      <c r="H107" s="113"/>
    </row>
    <row r="108">
      <c r="A108" s="113"/>
      <c r="B108" s="113"/>
      <c r="C108" s="113"/>
      <c r="D108" s="113"/>
      <c r="E108" s="113"/>
      <c r="F108" s="113"/>
      <c r="G108" s="113"/>
      <c r="H108" s="113"/>
    </row>
    <row r="109">
      <c r="A109" s="113"/>
      <c r="B109" s="113"/>
      <c r="C109" s="113"/>
      <c r="D109" s="113"/>
      <c r="E109" s="113"/>
      <c r="F109" s="113"/>
      <c r="G109" s="113"/>
      <c r="H109" s="113"/>
    </row>
    <row r="110">
      <c r="A110" s="113"/>
      <c r="B110" s="113"/>
      <c r="C110" s="113"/>
      <c r="D110" s="113"/>
      <c r="E110" s="113"/>
      <c r="F110" s="113"/>
      <c r="G110" s="113"/>
      <c r="H110" s="113"/>
    </row>
    <row r="111">
      <c r="A111" s="113"/>
      <c r="B111" s="113"/>
      <c r="C111" s="113"/>
      <c r="D111" s="113"/>
      <c r="E111" s="113"/>
      <c r="F111" s="113"/>
      <c r="G111" s="113"/>
      <c r="H111" s="113"/>
    </row>
    <row r="112">
      <c r="A112" s="113"/>
      <c r="B112" s="113"/>
      <c r="C112" s="113"/>
      <c r="D112" s="113"/>
      <c r="E112" s="113"/>
      <c r="F112" s="113"/>
      <c r="G112" s="113"/>
      <c r="H112" s="113"/>
    </row>
    <row r="113">
      <c r="A113" s="113"/>
      <c r="B113" s="113"/>
      <c r="C113" s="113"/>
      <c r="D113" s="113"/>
      <c r="E113" s="113"/>
      <c r="F113" s="113"/>
      <c r="G113" s="113"/>
      <c r="H113" s="113"/>
    </row>
    <row r="114">
      <c r="A114" s="113"/>
      <c r="B114" s="113"/>
      <c r="C114" s="113"/>
      <c r="D114" s="113"/>
      <c r="E114" s="113"/>
      <c r="F114" s="113"/>
      <c r="G114" s="113"/>
      <c r="H114" s="113"/>
    </row>
    <row r="115">
      <c r="A115" s="113"/>
      <c r="B115" s="113"/>
      <c r="C115" s="113"/>
      <c r="D115" s="113"/>
      <c r="E115" s="113"/>
      <c r="F115" s="113"/>
      <c r="G115" s="113"/>
      <c r="H115" s="113"/>
    </row>
    <row r="116">
      <c r="A116" s="113"/>
      <c r="B116" s="113"/>
      <c r="C116" s="113"/>
      <c r="D116" s="113"/>
      <c r="E116" s="113"/>
      <c r="F116" s="113"/>
      <c r="G116" s="113"/>
      <c r="H116" s="113"/>
    </row>
    <row r="117">
      <c r="A117" s="113"/>
      <c r="B117" s="113"/>
      <c r="C117" s="113"/>
      <c r="D117" s="113"/>
      <c r="E117" s="113"/>
      <c r="F117" s="113"/>
      <c r="G117" s="113"/>
      <c r="H117" s="113"/>
    </row>
    <row r="118">
      <c r="A118" s="113"/>
      <c r="B118" s="113"/>
      <c r="C118" s="113"/>
      <c r="D118" s="113"/>
      <c r="E118" s="113"/>
      <c r="F118" s="113"/>
      <c r="G118" s="113"/>
      <c r="H118" s="113"/>
    </row>
    <row r="119">
      <c r="A119" s="113"/>
      <c r="B119" s="113"/>
      <c r="C119" s="113"/>
      <c r="D119" s="113"/>
      <c r="E119" s="113"/>
      <c r="F119" s="113"/>
      <c r="G119" s="113"/>
      <c r="H119" s="113"/>
    </row>
    <row r="120">
      <c r="A120" s="113"/>
      <c r="B120" s="113"/>
      <c r="C120" s="113"/>
      <c r="D120" s="113"/>
      <c r="E120" s="113"/>
      <c r="F120" s="113"/>
      <c r="G120" s="113"/>
      <c r="H120" s="113"/>
    </row>
    <row r="121">
      <c r="A121" s="113"/>
      <c r="B121" s="113"/>
      <c r="C121" s="113"/>
      <c r="D121" s="113"/>
      <c r="E121" s="113"/>
      <c r="F121" s="113"/>
      <c r="G121" s="113"/>
      <c r="H121" s="113"/>
    </row>
    <row r="122">
      <c r="A122" s="113"/>
      <c r="B122" s="113"/>
      <c r="C122" s="113"/>
      <c r="D122" s="113"/>
      <c r="E122" s="113"/>
      <c r="F122" s="113"/>
      <c r="G122" s="113"/>
      <c r="H122" s="113"/>
    </row>
    <row r="123">
      <c r="A123" s="113"/>
      <c r="B123" s="113"/>
      <c r="C123" s="113"/>
      <c r="D123" s="113"/>
      <c r="E123" s="113"/>
      <c r="F123" s="113"/>
      <c r="G123" s="113"/>
      <c r="H123" s="113"/>
    </row>
    <row r="124">
      <c r="A124" s="113"/>
      <c r="B124" s="113"/>
      <c r="C124" s="113"/>
      <c r="D124" s="113"/>
      <c r="E124" s="113"/>
      <c r="F124" s="113"/>
      <c r="G124" s="113"/>
      <c r="H124" s="113"/>
    </row>
    <row r="125">
      <c r="A125" s="113"/>
      <c r="B125" s="113"/>
      <c r="C125" s="113"/>
      <c r="D125" s="113"/>
      <c r="E125" s="113"/>
      <c r="F125" s="113"/>
      <c r="G125" s="113"/>
      <c r="H125" s="113"/>
    </row>
    <row r="126">
      <c r="A126" s="113"/>
      <c r="B126" s="113"/>
      <c r="C126" s="113"/>
      <c r="D126" s="113"/>
      <c r="E126" s="113"/>
      <c r="F126" s="113"/>
      <c r="G126" s="113"/>
      <c r="H126" s="113"/>
    </row>
    <row r="127">
      <c r="A127" s="113"/>
      <c r="B127" s="113"/>
      <c r="C127" s="113"/>
      <c r="D127" s="113"/>
      <c r="E127" s="113"/>
      <c r="F127" s="113"/>
      <c r="G127" s="113"/>
      <c r="H127" s="113"/>
    </row>
    <row r="128">
      <c r="A128" s="113"/>
      <c r="B128" s="113"/>
      <c r="C128" s="113"/>
      <c r="D128" s="113"/>
      <c r="E128" s="113"/>
      <c r="F128" s="113"/>
      <c r="G128" s="113"/>
      <c r="H128" s="113"/>
    </row>
    <row r="129">
      <c r="A129" s="113"/>
      <c r="B129" s="113"/>
      <c r="C129" s="113"/>
      <c r="D129" s="113"/>
      <c r="E129" s="113"/>
      <c r="F129" s="113"/>
      <c r="G129" s="113"/>
      <c r="H129" s="113"/>
    </row>
    <row r="130">
      <c r="A130" s="113"/>
      <c r="B130" s="113"/>
      <c r="C130" s="113"/>
      <c r="D130" s="113"/>
      <c r="E130" s="113"/>
      <c r="F130" s="113"/>
      <c r="G130" s="113"/>
      <c r="H130" s="113"/>
    </row>
    <row r="131">
      <c r="A131" s="113"/>
      <c r="B131" s="113"/>
      <c r="C131" s="113"/>
      <c r="D131" s="113"/>
      <c r="E131" s="113"/>
      <c r="F131" s="113"/>
      <c r="G131" s="113"/>
      <c r="H131" s="113"/>
    </row>
    <row r="132">
      <c r="A132" s="113"/>
      <c r="B132" s="113"/>
      <c r="C132" s="113"/>
      <c r="D132" s="113"/>
      <c r="E132" s="113"/>
      <c r="F132" s="113"/>
      <c r="G132" s="113"/>
      <c r="H132" s="113"/>
    </row>
    <row r="133">
      <c r="A133" s="113"/>
      <c r="B133" s="113"/>
      <c r="C133" s="113"/>
      <c r="D133" s="113"/>
      <c r="E133" s="113"/>
      <c r="F133" s="113"/>
      <c r="G133" s="113"/>
      <c r="H133" s="113"/>
    </row>
    <row r="134">
      <c r="A134" s="113"/>
      <c r="B134" s="113"/>
      <c r="C134" s="113"/>
      <c r="D134" s="113"/>
      <c r="E134" s="113"/>
      <c r="F134" s="113"/>
      <c r="G134" s="113"/>
      <c r="H134" s="113"/>
    </row>
    <row r="135">
      <c r="A135" s="113"/>
      <c r="B135" s="113"/>
      <c r="C135" s="113"/>
      <c r="D135" s="113"/>
      <c r="E135" s="113"/>
      <c r="F135" s="113"/>
      <c r="G135" s="113"/>
      <c r="H135" s="113"/>
    </row>
    <row r="136">
      <c r="A136" s="113"/>
      <c r="B136" s="113"/>
      <c r="C136" s="113"/>
      <c r="D136" s="113"/>
      <c r="E136" s="113"/>
      <c r="F136" s="113"/>
      <c r="G136" s="113"/>
      <c r="H136" s="113"/>
    </row>
    <row r="137">
      <c r="A137" s="113"/>
      <c r="B137" s="113"/>
      <c r="C137" s="113"/>
      <c r="D137" s="113"/>
      <c r="E137" s="113"/>
      <c r="F137" s="113"/>
      <c r="G137" s="113"/>
      <c r="H137" s="113"/>
    </row>
    <row r="138">
      <c r="A138" s="113"/>
      <c r="B138" s="113"/>
      <c r="C138" s="113"/>
      <c r="D138" s="113"/>
      <c r="E138" s="113"/>
      <c r="F138" s="113"/>
      <c r="G138" s="113"/>
      <c r="H138" s="113"/>
    </row>
    <row r="139">
      <c r="A139" s="113"/>
      <c r="B139" s="113"/>
      <c r="C139" s="113"/>
      <c r="D139" s="113"/>
      <c r="E139" s="113"/>
      <c r="F139" s="113"/>
      <c r="G139" s="113"/>
      <c r="H139" s="113"/>
    </row>
    <row r="140">
      <c r="A140" s="113"/>
      <c r="B140" s="113"/>
      <c r="C140" s="113"/>
      <c r="D140" s="113"/>
      <c r="E140" s="113"/>
      <c r="F140" s="113"/>
      <c r="G140" s="113"/>
      <c r="H140" s="113"/>
    </row>
    <row r="141">
      <c r="A141" s="113"/>
      <c r="B141" s="113"/>
      <c r="C141" s="113"/>
      <c r="D141" s="113"/>
      <c r="E141" s="113"/>
      <c r="F141" s="113"/>
      <c r="G141" s="113"/>
      <c r="H141" s="113"/>
    </row>
    <row r="142">
      <c r="A142" s="113"/>
      <c r="B142" s="113"/>
      <c r="C142" s="113"/>
      <c r="D142" s="113"/>
      <c r="E142" s="113"/>
      <c r="F142" s="113"/>
      <c r="G142" s="113"/>
      <c r="H142" s="113"/>
    </row>
    <row r="143">
      <c r="A143" s="113"/>
      <c r="B143" s="113"/>
      <c r="C143" s="113"/>
      <c r="D143" s="113"/>
      <c r="E143" s="113"/>
      <c r="F143" s="113"/>
      <c r="G143" s="113"/>
      <c r="H143" s="113"/>
    </row>
    <row r="144">
      <c r="A144" s="113"/>
      <c r="B144" s="113"/>
      <c r="C144" s="113"/>
      <c r="D144" s="113"/>
      <c r="E144" s="113"/>
      <c r="F144" s="113"/>
      <c r="G144" s="113"/>
      <c r="H144" s="113"/>
    </row>
    <row r="145">
      <c r="A145" s="113"/>
      <c r="B145" s="113"/>
      <c r="C145" s="113"/>
      <c r="D145" s="113"/>
      <c r="E145" s="113"/>
      <c r="F145" s="113"/>
      <c r="G145" s="113"/>
      <c r="H145" s="113"/>
    </row>
    <row r="146">
      <c r="A146" s="113"/>
      <c r="B146" s="113"/>
      <c r="C146" s="113"/>
      <c r="D146" s="113"/>
      <c r="E146" s="113"/>
      <c r="F146" s="113"/>
      <c r="G146" s="113"/>
      <c r="H146" s="113"/>
    </row>
    <row r="147">
      <c r="A147" s="113"/>
      <c r="B147" s="113"/>
      <c r="C147" s="113"/>
      <c r="D147" s="113"/>
      <c r="E147" s="113"/>
      <c r="F147" s="113"/>
      <c r="G147" s="113"/>
      <c r="H147" s="113"/>
    </row>
    <row r="148">
      <c r="A148" s="113"/>
      <c r="B148" s="113"/>
      <c r="C148" s="113"/>
      <c r="D148" s="113"/>
      <c r="E148" s="113"/>
      <c r="F148" s="113"/>
      <c r="G148" s="113"/>
      <c r="H148" s="113"/>
    </row>
    <row r="149">
      <c r="A149" s="113"/>
      <c r="B149" s="113"/>
      <c r="C149" s="113"/>
      <c r="D149" s="113"/>
      <c r="E149" s="113"/>
      <c r="F149" s="113"/>
      <c r="G149" s="113"/>
      <c r="H149" s="113"/>
    </row>
    <row r="150">
      <c r="A150" s="113"/>
      <c r="B150" s="113"/>
      <c r="C150" s="113"/>
      <c r="D150" s="113"/>
      <c r="E150" s="113"/>
      <c r="F150" s="113"/>
      <c r="G150" s="113"/>
      <c r="H150" s="113"/>
    </row>
    <row r="151">
      <c r="A151" s="113"/>
      <c r="B151" s="113"/>
      <c r="C151" s="113"/>
      <c r="D151" s="113"/>
      <c r="E151" s="113"/>
      <c r="F151" s="113"/>
      <c r="G151" s="113"/>
      <c r="H151" s="113"/>
    </row>
    <row r="152">
      <c r="A152" s="113"/>
      <c r="B152" s="113"/>
      <c r="C152" s="113"/>
      <c r="D152" s="113"/>
      <c r="E152" s="113"/>
      <c r="F152" s="113"/>
      <c r="G152" s="113"/>
      <c r="H152" s="113"/>
    </row>
    <row r="153">
      <c r="A153" s="113"/>
      <c r="B153" s="113"/>
      <c r="C153" s="113"/>
      <c r="D153" s="113"/>
      <c r="E153" s="113"/>
      <c r="F153" s="113"/>
      <c r="G153" s="113"/>
      <c r="H153" s="113"/>
    </row>
    <row r="154">
      <c r="A154" s="113"/>
      <c r="B154" s="113"/>
      <c r="C154" s="113"/>
      <c r="D154" s="113"/>
      <c r="E154" s="113"/>
      <c r="F154" s="113"/>
      <c r="G154" s="113"/>
      <c r="H154" s="113"/>
    </row>
    <row r="155">
      <c r="A155" s="113"/>
      <c r="B155" s="113"/>
      <c r="C155" s="113"/>
      <c r="D155" s="113"/>
      <c r="E155" s="113"/>
      <c r="F155" s="113"/>
      <c r="G155" s="113"/>
      <c r="H155" s="113"/>
    </row>
    <row r="156">
      <c r="A156" s="113"/>
      <c r="B156" s="113"/>
      <c r="C156" s="113"/>
      <c r="D156" s="113"/>
      <c r="E156" s="113"/>
      <c r="F156" s="113"/>
      <c r="G156" s="113"/>
      <c r="H156" s="113"/>
    </row>
    <row r="157">
      <c r="A157" s="113"/>
      <c r="B157" s="113"/>
      <c r="C157" s="113"/>
      <c r="D157" s="113"/>
      <c r="E157" s="113"/>
      <c r="F157" s="113"/>
      <c r="G157" s="113"/>
      <c r="H157" s="113"/>
    </row>
    <row r="158">
      <c r="A158" s="113"/>
      <c r="B158" s="113"/>
      <c r="C158" s="113"/>
      <c r="D158" s="113"/>
      <c r="E158" s="113"/>
      <c r="F158" s="113"/>
      <c r="G158" s="113"/>
      <c r="H158" s="113"/>
    </row>
    <row r="159">
      <c r="A159" s="113"/>
      <c r="B159" s="113"/>
      <c r="C159" s="113"/>
      <c r="D159" s="113"/>
      <c r="E159" s="113"/>
      <c r="F159" s="113"/>
      <c r="G159" s="113"/>
      <c r="H159" s="113"/>
    </row>
    <row r="160">
      <c r="A160" s="113"/>
      <c r="B160" s="113"/>
      <c r="C160" s="113"/>
      <c r="D160" s="113"/>
      <c r="E160" s="113"/>
      <c r="F160" s="113"/>
      <c r="G160" s="113"/>
      <c r="H160" s="113"/>
    </row>
    <row r="161">
      <c r="A161" s="113"/>
      <c r="B161" s="113"/>
      <c r="C161" s="113"/>
      <c r="D161" s="113"/>
      <c r="E161" s="113"/>
      <c r="F161" s="113"/>
      <c r="G161" s="113"/>
      <c r="H161" s="113"/>
    </row>
    <row r="162">
      <c r="A162" s="113"/>
      <c r="B162" s="113"/>
      <c r="C162" s="113"/>
      <c r="D162" s="113"/>
      <c r="E162" s="113"/>
      <c r="F162" s="113"/>
      <c r="G162" s="113"/>
      <c r="H162" s="113"/>
    </row>
    <row r="163">
      <c r="A163" s="113"/>
      <c r="B163" s="113"/>
      <c r="C163" s="113"/>
      <c r="D163" s="113"/>
      <c r="E163" s="113"/>
      <c r="F163" s="113"/>
      <c r="G163" s="113"/>
      <c r="H163" s="113"/>
    </row>
    <row r="164">
      <c r="A164" s="113"/>
      <c r="B164" s="113"/>
      <c r="C164" s="113"/>
      <c r="D164" s="113"/>
      <c r="E164" s="113"/>
      <c r="F164" s="113"/>
      <c r="G164" s="113"/>
      <c r="H164" s="113"/>
    </row>
    <row r="165">
      <c r="A165" s="113"/>
      <c r="B165" s="113"/>
      <c r="C165" s="113"/>
      <c r="D165" s="113"/>
      <c r="E165" s="113"/>
      <c r="F165" s="113"/>
      <c r="G165" s="113"/>
      <c r="H165" s="113"/>
    </row>
    <row r="166">
      <c r="A166" s="113"/>
      <c r="B166" s="113"/>
      <c r="C166" s="113"/>
      <c r="D166" s="113"/>
      <c r="E166" s="113"/>
      <c r="F166" s="113"/>
      <c r="G166" s="113"/>
      <c r="H166" s="113"/>
    </row>
    <row r="167">
      <c r="A167" s="113"/>
      <c r="B167" s="113"/>
      <c r="C167" s="113"/>
      <c r="D167" s="113"/>
      <c r="E167" s="113"/>
      <c r="F167" s="113"/>
      <c r="G167" s="113"/>
      <c r="H167" s="113"/>
    </row>
    <row r="168">
      <c r="A168" s="113"/>
      <c r="B168" s="113"/>
      <c r="C168" s="113"/>
      <c r="D168" s="113"/>
      <c r="E168" s="113"/>
      <c r="F168" s="113"/>
      <c r="G168" s="113"/>
      <c r="H168" s="113"/>
    </row>
    <row r="169">
      <c r="A169" s="113"/>
      <c r="B169" s="113"/>
      <c r="C169" s="113"/>
      <c r="D169" s="113"/>
      <c r="E169" s="113"/>
      <c r="F169" s="113"/>
      <c r="G169" s="113"/>
      <c r="H169" s="113"/>
    </row>
    <row r="170">
      <c r="A170" s="113"/>
      <c r="B170" s="113"/>
      <c r="C170" s="113"/>
      <c r="D170" s="113"/>
      <c r="E170" s="113"/>
      <c r="F170" s="113"/>
      <c r="G170" s="113"/>
      <c r="H170" s="113"/>
    </row>
    <row r="171">
      <c r="A171" s="113"/>
      <c r="B171" s="113"/>
      <c r="C171" s="113"/>
      <c r="D171" s="113"/>
      <c r="E171" s="113"/>
      <c r="F171" s="113"/>
      <c r="G171" s="113"/>
      <c r="H171" s="113"/>
    </row>
    <row r="172">
      <c r="A172" s="113"/>
      <c r="B172" s="113"/>
      <c r="C172" s="113"/>
      <c r="D172" s="113"/>
      <c r="E172" s="113"/>
      <c r="F172" s="113"/>
      <c r="G172" s="113"/>
      <c r="H172" s="113"/>
    </row>
    <row r="173">
      <c r="A173" s="113"/>
      <c r="B173" s="113"/>
      <c r="C173" s="113"/>
      <c r="D173" s="113"/>
      <c r="E173" s="113"/>
      <c r="F173" s="113"/>
      <c r="G173" s="113"/>
      <c r="H173" s="113"/>
    </row>
    <row r="174">
      <c r="A174" s="113"/>
      <c r="B174" s="113"/>
      <c r="C174" s="113"/>
      <c r="D174" s="113"/>
      <c r="E174" s="113"/>
      <c r="F174" s="113"/>
      <c r="G174" s="113"/>
      <c r="H174" s="113"/>
    </row>
    <row r="175">
      <c r="A175" s="113"/>
      <c r="B175" s="113"/>
      <c r="C175" s="113"/>
      <c r="D175" s="113"/>
      <c r="E175" s="113"/>
      <c r="F175" s="113"/>
      <c r="G175" s="113"/>
      <c r="H175" s="113"/>
    </row>
    <row r="176">
      <c r="A176" s="113"/>
      <c r="B176" s="113"/>
      <c r="C176" s="113"/>
      <c r="D176" s="113"/>
      <c r="E176" s="113"/>
      <c r="F176" s="113"/>
      <c r="G176" s="113"/>
      <c r="H176" s="113"/>
    </row>
    <row r="177">
      <c r="A177" s="113"/>
      <c r="B177" s="113"/>
      <c r="C177" s="113"/>
      <c r="D177" s="113"/>
      <c r="E177" s="113"/>
      <c r="F177" s="113"/>
      <c r="G177" s="113"/>
      <c r="H177" s="113"/>
    </row>
    <row r="178">
      <c r="A178" s="113"/>
      <c r="B178" s="113"/>
      <c r="C178" s="113"/>
      <c r="D178" s="113"/>
      <c r="E178" s="113"/>
      <c r="F178" s="113"/>
      <c r="G178" s="113"/>
      <c r="H178" s="113"/>
    </row>
    <row r="179">
      <c r="A179" s="113"/>
      <c r="B179" s="113"/>
      <c r="C179" s="113"/>
      <c r="D179" s="113"/>
      <c r="E179" s="113"/>
      <c r="F179" s="113"/>
      <c r="G179" s="113"/>
      <c r="H179" s="113"/>
    </row>
    <row r="180">
      <c r="A180" s="113"/>
      <c r="B180" s="113"/>
      <c r="C180" s="113"/>
      <c r="D180" s="113"/>
      <c r="E180" s="113"/>
      <c r="F180" s="113"/>
      <c r="G180" s="113"/>
      <c r="H180" s="113"/>
    </row>
    <row r="181">
      <c r="A181" s="113"/>
      <c r="B181" s="113"/>
      <c r="C181" s="113"/>
      <c r="D181" s="113"/>
      <c r="E181" s="113"/>
      <c r="F181" s="113"/>
      <c r="G181" s="113"/>
      <c r="H181" s="113"/>
    </row>
    <row r="182">
      <c r="A182" s="113"/>
      <c r="B182" s="113"/>
      <c r="C182" s="113"/>
      <c r="D182" s="113"/>
      <c r="E182" s="113"/>
      <c r="F182" s="113"/>
      <c r="G182" s="113"/>
      <c r="H182" s="113"/>
    </row>
    <row r="183">
      <c r="A183" s="113"/>
      <c r="B183" s="113"/>
      <c r="C183" s="113"/>
      <c r="D183" s="113"/>
      <c r="E183" s="113"/>
      <c r="F183" s="113"/>
      <c r="G183" s="113"/>
      <c r="H183" s="113"/>
    </row>
    <row r="184">
      <c r="A184" s="113"/>
      <c r="B184" s="113"/>
      <c r="C184" s="113"/>
      <c r="D184" s="113"/>
      <c r="E184" s="113"/>
      <c r="F184" s="113"/>
      <c r="G184" s="113"/>
      <c r="H184" s="113"/>
    </row>
    <row r="185">
      <c r="A185" s="113"/>
      <c r="B185" s="113"/>
      <c r="C185" s="113"/>
      <c r="D185" s="113"/>
      <c r="E185" s="113"/>
      <c r="F185" s="113"/>
      <c r="G185" s="113"/>
      <c r="H185" s="113"/>
    </row>
    <row r="186">
      <c r="A186" s="113"/>
      <c r="B186" s="113"/>
      <c r="C186" s="113"/>
      <c r="D186" s="113"/>
      <c r="E186" s="113"/>
      <c r="F186" s="113"/>
      <c r="G186" s="113"/>
      <c r="H186" s="113"/>
    </row>
    <row r="187">
      <c r="A187" s="113"/>
      <c r="B187" s="113"/>
      <c r="C187" s="113"/>
      <c r="D187" s="113"/>
      <c r="E187" s="113"/>
      <c r="F187" s="113"/>
      <c r="G187" s="113"/>
      <c r="H187" s="113"/>
    </row>
    <row r="188">
      <c r="A188" s="113"/>
      <c r="B188" s="113"/>
      <c r="C188" s="113"/>
      <c r="D188" s="113"/>
      <c r="E188" s="113"/>
      <c r="F188" s="113"/>
      <c r="G188" s="113"/>
      <c r="H188" s="113"/>
    </row>
    <row r="189">
      <c r="A189" s="113"/>
      <c r="B189" s="113"/>
      <c r="C189" s="113"/>
      <c r="D189" s="113"/>
      <c r="E189" s="113"/>
      <c r="F189" s="113"/>
      <c r="G189" s="113"/>
      <c r="H189" s="113"/>
    </row>
    <row r="190">
      <c r="A190" s="113"/>
      <c r="B190" s="113"/>
      <c r="C190" s="113"/>
      <c r="D190" s="113"/>
      <c r="E190" s="113"/>
      <c r="F190" s="113"/>
      <c r="G190" s="113"/>
      <c r="H190" s="113"/>
    </row>
    <row r="191">
      <c r="A191" s="113"/>
      <c r="B191" s="113"/>
      <c r="C191" s="113"/>
      <c r="D191" s="113"/>
      <c r="E191" s="113"/>
      <c r="F191" s="113"/>
      <c r="G191" s="113"/>
      <c r="H191" s="113"/>
    </row>
    <row r="192">
      <c r="A192" s="113"/>
      <c r="B192" s="113"/>
      <c r="C192" s="113"/>
      <c r="D192" s="113"/>
      <c r="E192" s="113"/>
      <c r="F192" s="113"/>
      <c r="G192" s="113"/>
      <c r="H192" s="113"/>
    </row>
    <row r="193">
      <c r="A193" s="113"/>
      <c r="B193" s="113"/>
      <c r="C193" s="113"/>
      <c r="D193" s="113"/>
      <c r="E193" s="113"/>
      <c r="F193" s="113"/>
      <c r="G193" s="113"/>
      <c r="H193" s="113"/>
    </row>
    <row r="194">
      <c r="A194" s="113"/>
      <c r="B194" s="113"/>
      <c r="C194" s="113"/>
      <c r="D194" s="113"/>
      <c r="E194" s="113"/>
      <c r="F194" s="113"/>
      <c r="G194" s="113"/>
      <c r="H194" s="113"/>
    </row>
    <row r="195">
      <c r="A195" s="113"/>
      <c r="B195" s="113"/>
      <c r="C195" s="113"/>
      <c r="D195" s="113"/>
      <c r="E195" s="113"/>
      <c r="F195" s="113"/>
      <c r="G195" s="113"/>
      <c r="H195" s="113"/>
    </row>
    <row r="196">
      <c r="A196" s="113"/>
      <c r="B196" s="113"/>
      <c r="C196" s="113"/>
      <c r="D196" s="113"/>
      <c r="E196" s="113"/>
      <c r="F196" s="113"/>
      <c r="G196" s="113"/>
      <c r="H196" s="113"/>
    </row>
    <row r="197">
      <c r="A197" s="113"/>
      <c r="B197" s="113"/>
      <c r="C197" s="113"/>
      <c r="D197" s="113"/>
      <c r="E197" s="113"/>
      <c r="F197" s="113"/>
      <c r="G197" s="113"/>
      <c r="H197" s="113"/>
    </row>
    <row r="198">
      <c r="A198" s="113"/>
      <c r="B198" s="113"/>
      <c r="C198" s="113"/>
      <c r="D198" s="113"/>
      <c r="E198" s="113"/>
      <c r="F198" s="113"/>
      <c r="G198" s="113"/>
      <c r="H198" s="113"/>
    </row>
    <row r="199">
      <c r="A199" s="113"/>
      <c r="B199" s="113"/>
      <c r="C199" s="113"/>
      <c r="D199" s="113"/>
      <c r="E199" s="113"/>
      <c r="F199" s="113"/>
      <c r="G199" s="113"/>
      <c r="H199" s="113"/>
    </row>
    <row r="200">
      <c r="A200" s="113"/>
      <c r="B200" s="113"/>
      <c r="C200" s="113"/>
      <c r="D200" s="113"/>
      <c r="E200" s="113"/>
      <c r="F200" s="113"/>
      <c r="G200" s="113"/>
      <c r="H200" s="113"/>
    </row>
    <row r="201">
      <c r="A201" s="113"/>
      <c r="B201" s="113"/>
      <c r="C201" s="113"/>
      <c r="D201" s="113"/>
      <c r="E201" s="113"/>
      <c r="F201" s="113"/>
      <c r="G201" s="113"/>
      <c r="H201" s="113"/>
    </row>
    <row r="202">
      <c r="A202" s="113"/>
      <c r="B202" s="113"/>
      <c r="C202" s="113"/>
      <c r="D202" s="113"/>
      <c r="E202" s="113"/>
      <c r="F202" s="113"/>
      <c r="G202" s="113"/>
      <c r="H202" s="113"/>
    </row>
    <row r="203">
      <c r="A203" s="113"/>
      <c r="B203" s="113"/>
      <c r="C203" s="113"/>
      <c r="D203" s="113"/>
      <c r="E203" s="113"/>
      <c r="F203" s="113"/>
      <c r="G203" s="113"/>
      <c r="H203" s="113"/>
    </row>
    <row r="204">
      <c r="A204" s="113"/>
      <c r="B204" s="113"/>
      <c r="C204" s="113"/>
      <c r="D204" s="113"/>
      <c r="E204" s="113"/>
      <c r="F204" s="113"/>
      <c r="G204" s="113"/>
      <c r="H204" s="113"/>
    </row>
    <row r="205">
      <c r="A205" s="113"/>
      <c r="B205" s="113"/>
      <c r="C205" s="113"/>
      <c r="D205" s="113"/>
      <c r="E205" s="113"/>
      <c r="F205" s="113"/>
      <c r="G205" s="113"/>
      <c r="H205" s="113"/>
    </row>
    <row r="206">
      <c r="A206" s="113"/>
      <c r="B206" s="113"/>
      <c r="C206" s="113"/>
      <c r="D206" s="113"/>
      <c r="E206" s="113"/>
      <c r="F206" s="113"/>
      <c r="G206" s="113"/>
      <c r="H206" s="113"/>
    </row>
    <row r="207">
      <c r="A207" s="113"/>
      <c r="B207" s="113"/>
      <c r="C207" s="113"/>
      <c r="D207" s="113"/>
      <c r="E207" s="113"/>
      <c r="F207" s="113"/>
      <c r="G207" s="113"/>
      <c r="H207" s="113"/>
    </row>
    <row r="208">
      <c r="A208" s="113"/>
      <c r="B208" s="113"/>
      <c r="C208" s="113"/>
      <c r="D208" s="113"/>
      <c r="E208" s="113"/>
      <c r="F208" s="113"/>
      <c r="G208" s="113"/>
      <c r="H208" s="113"/>
    </row>
    <row r="209">
      <c r="A209" s="113"/>
      <c r="B209" s="113"/>
      <c r="C209" s="113"/>
      <c r="D209" s="113"/>
      <c r="E209" s="113"/>
      <c r="F209" s="113"/>
      <c r="G209" s="113"/>
      <c r="H209" s="113"/>
    </row>
    <row r="210">
      <c r="A210" s="113"/>
      <c r="B210" s="113"/>
      <c r="C210" s="113"/>
      <c r="D210" s="113"/>
      <c r="E210" s="113"/>
      <c r="F210" s="113"/>
      <c r="G210" s="113"/>
      <c r="H210" s="113"/>
    </row>
    <row r="211">
      <c r="A211" s="113"/>
      <c r="B211" s="113"/>
      <c r="C211" s="113"/>
      <c r="D211" s="113"/>
      <c r="E211" s="113"/>
      <c r="F211" s="113"/>
      <c r="G211" s="113"/>
      <c r="H211" s="113"/>
    </row>
    <row r="212">
      <c r="A212" s="113"/>
      <c r="B212" s="113"/>
      <c r="C212" s="113"/>
      <c r="D212" s="113"/>
      <c r="E212" s="113"/>
      <c r="F212" s="113"/>
      <c r="G212" s="113"/>
      <c r="H212" s="113"/>
    </row>
    <row r="213">
      <c r="A213" s="113"/>
      <c r="B213" s="113"/>
      <c r="C213" s="113"/>
      <c r="D213" s="113"/>
      <c r="E213" s="113"/>
      <c r="F213" s="113"/>
      <c r="G213" s="113"/>
      <c r="H213" s="113"/>
    </row>
    <row r="214">
      <c r="A214" s="113"/>
      <c r="B214" s="113"/>
      <c r="C214" s="113"/>
      <c r="D214" s="113"/>
      <c r="E214" s="113"/>
      <c r="F214" s="113"/>
      <c r="G214" s="113"/>
      <c r="H214" s="113"/>
    </row>
    <row r="215">
      <c r="A215" s="113"/>
      <c r="B215" s="113"/>
      <c r="C215" s="113"/>
      <c r="D215" s="113"/>
      <c r="E215" s="113"/>
      <c r="F215" s="113"/>
      <c r="G215" s="113"/>
      <c r="H215" s="113"/>
    </row>
    <row r="216">
      <c r="A216" s="113"/>
      <c r="B216" s="113"/>
      <c r="C216" s="113"/>
      <c r="D216" s="113"/>
      <c r="E216" s="113"/>
      <c r="F216" s="113"/>
      <c r="G216" s="113"/>
      <c r="H216" s="113"/>
    </row>
    <row r="217">
      <c r="A217" s="113"/>
      <c r="B217" s="113"/>
      <c r="C217" s="113"/>
      <c r="D217" s="113"/>
      <c r="E217" s="113"/>
      <c r="F217" s="113"/>
      <c r="G217" s="113"/>
      <c r="H217" s="113"/>
    </row>
    <row r="218">
      <c r="A218" s="113"/>
      <c r="B218" s="113"/>
      <c r="C218" s="113"/>
      <c r="D218" s="113"/>
      <c r="E218" s="113"/>
      <c r="F218" s="113"/>
      <c r="G218" s="113"/>
      <c r="H218" s="113"/>
    </row>
    <row r="219">
      <c r="A219" s="113"/>
      <c r="B219" s="113"/>
      <c r="C219" s="113"/>
      <c r="D219" s="113"/>
      <c r="E219" s="113"/>
      <c r="F219" s="113"/>
      <c r="G219" s="113"/>
      <c r="H219" s="113"/>
    </row>
    <row r="220">
      <c r="A220" s="113"/>
      <c r="B220" s="113"/>
      <c r="C220" s="113"/>
      <c r="D220" s="113"/>
      <c r="E220" s="113"/>
      <c r="F220" s="113"/>
      <c r="G220" s="113"/>
      <c r="H220" s="113"/>
    </row>
    <row r="221">
      <c r="A221" s="113"/>
      <c r="B221" s="113"/>
      <c r="C221" s="113"/>
      <c r="D221" s="113"/>
      <c r="E221" s="113"/>
      <c r="F221" s="113"/>
      <c r="G221" s="113"/>
      <c r="H221" s="113"/>
    </row>
    <row r="222">
      <c r="A222" s="113"/>
      <c r="B222" s="113"/>
      <c r="C222" s="113"/>
      <c r="D222" s="113"/>
      <c r="E222" s="113"/>
      <c r="F222" s="113"/>
      <c r="G222" s="113"/>
      <c r="H222" s="113"/>
    </row>
    <row r="223">
      <c r="A223" s="113"/>
      <c r="B223" s="113"/>
      <c r="C223" s="113"/>
      <c r="D223" s="113"/>
      <c r="E223" s="113"/>
      <c r="F223" s="113"/>
      <c r="G223" s="113"/>
      <c r="H223" s="113"/>
    </row>
    <row r="224">
      <c r="A224" s="113"/>
      <c r="B224" s="113"/>
      <c r="C224" s="113"/>
      <c r="D224" s="113"/>
      <c r="E224" s="113"/>
      <c r="F224" s="113"/>
      <c r="G224" s="113"/>
      <c r="H224" s="113"/>
    </row>
    <row r="225">
      <c r="A225" s="113"/>
      <c r="B225" s="113"/>
      <c r="C225" s="113"/>
      <c r="D225" s="113"/>
      <c r="E225" s="113"/>
      <c r="F225" s="113"/>
      <c r="G225" s="113"/>
      <c r="H225" s="113"/>
    </row>
    <row r="226">
      <c r="A226" s="113"/>
      <c r="B226" s="113"/>
      <c r="C226" s="113"/>
      <c r="D226" s="113"/>
      <c r="E226" s="113"/>
      <c r="F226" s="113"/>
      <c r="G226" s="113"/>
      <c r="H226" s="113"/>
    </row>
    <row r="227">
      <c r="A227" s="113"/>
      <c r="B227" s="113"/>
      <c r="C227" s="113"/>
      <c r="D227" s="113"/>
      <c r="E227" s="113"/>
      <c r="F227" s="113"/>
      <c r="G227" s="113"/>
      <c r="H227" s="113"/>
    </row>
    <row r="228">
      <c r="A228" s="113"/>
      <c r="B228" s="113"/>
      <c r="C228" s="113"/>
      <c r="D228" s="113"/>
      <c r="E228" s="113"/>
      <c r="F228" s="113"/>
      <c r="G228" s="113"/>
      <c r="H228" s="113"/>
    </row>
    <row r="229">
      <c r="A229" s="113"/>
      <c r="B229" s="113"/>
      <c r="C229" s="113"/>
      <c r="D229" s="113"/>
      <c r="E229" s="113"/>
      <c r="F229" s="113"/>
      <c r="G229" s="113"/>
      <c r="H229" s="113"/>
    </row>
    <row r="230">
      <c r="A230" s="113"/>
      <c r="B230" s="113"/>
      <c r="C230" s="113"/>
      <c r="D230" s="113"/>
      <c r="E230" s="113"/>
      <c r="F230" s="113"/>
      <c r="G230" s="113"/>
      <c r="H230" s="113"/>
    </row>
    <row r="231">
      <c r="A231" s="113"/>
      <c r="B231" s="113"/>
      <c r="C231" s="113"/>
      <c r="D231" s="113"/>
      <c r="E231" s="113"/>
      <c r="F231" s="113"/>
      <c r="G231" s="113"/>
      <c r="H231" s="113"/>
    </row>
    <row r="232">
      <c r="A232" s="113"/>
      <c r="B232" s="113"/>
      <c r="C232" s="113"/>
      <c r="D232" s="113"/>
      <c r="E232" s="113"/>
      <c r="F232" s="113"/>
      <c r="G232" s="113"/>
      <c r="H232" s="113"/>
    </row>
    <row r="233">
      <c r="A233" s="113"/>
      <c r="B233" s="113"/>
      <c r="C233" s="113"/>
      <c r="D233" s="113"/>
      <c r="E233" s="113"/>
      <c r="F233" s="113"/>
      <c r="G233" s="113"/>
      <c r="H233" s="113"/>
    </row>
    <row r="234">
      <c r="A234" s="113"/>
      <c r="B234" s="113"/>
      <c r="C234" s="113"/>
      <c r="D234" s="113"/>
      <c r="E234" s="113"/>
      <c r="F234" s="113"/>
      <c r="G234" s="113"/>
      <c r="H234" s="113"/>
    </row>
    <row r="235">
      <c r="A235" s="113"/>
      <c r="B235" s="113"/>
      <c r="C235" s="113"/>
      <c r="D235" s="113"/>
      <c r="E235" s="113"/>
      <c r="F235" s="113"/>
      <c r="G235" s="113"/>
      <c r="H235" s="113"/>
    </row>
    <row r="236">
      <c r="A236" s="113"/>
      <c r="B236" s="113"/>
      <c r="C236" s="113"/>
      <c r="D236" s="113"/>
      <c r="E236" s="113"/>
      <c r="F236" s="113"/>
      <c r="G236" s="113"/>
      <c r="H236" s="113"/>
    </row>
    <row r="237">
      <c r="A237" s="113"/>
      <c r="B237" s="113"/>
      <c r="C237" s="113"/>
      <c r="D237" s="113"/>
      <c r="E237" s="113"/>
      <c r="F237" s="113"/>
      <c r="G237" s="113"/>
      <c r="H237" s="113"/>
    </row>
    <row r="238">
      <c r="A238" s="113"/>
      <c r="B238" s="113"/>
      <c r="C238" s="113"/>
      <c r="D238" s="113"/>
      <c r="E238" s="113"/>
      <c r="F238" s="113"/>
      <c r="G238" s="113"/>
      <c r="H238" s="113"/>
    </row>
    <row r="239">
      <c r="A239" s="113"/>
      <c r="B239" s="113"/>
      <c r="C239" s="113"/>
      <c r="D239" s="113"/>
      <c r="E239" s="113"/>
      <c r="F239" s="113"/>
      <c r="G239" s="113"/>
      <c r="H239" s="113"/>
    </row>
    <row r="240">
      <c r="A240" s="113"/>
      <c r="B240" s="113"/>
      <c r="C240" s="113"/>
      <c r="D240" s="113"/>
      <c r="E240" s="113"/>
      <c r="F240" s="113"/>
      <c r="G240" s="113"/>
      <c r="H240" s="113"/>
    </row>
    <row r="241">
      <c r="A241" s="113"/>
      <c r="B241" s="113"/>
      <c r="C241" s="113"/>
      <c r="D241" s="113"/>
      <c r="E241" s="113"/>
      <c r="F241" s="113"/>
      <c r="G241" s="113"/>
      <c r="H241" s="113"/>
    </row>
    <row r="242">
      <c r="A242" s="113"/>
      <c r="B242" s="113"/>
      <c r="C242" s="113"/>
      <c r="D242" s="113"/>
      <c r="E242" s="113"/>
      <c r="F242" s="113"/>
      <c r="G242" s="113"/>
      <c r="H242" s="113"/>
    </row>
    <row r="243">
      <c r="A243" s="113"/>
      <c r="B243" s="113"/>
      <c r="C243" s="113"/>
      <c r="D243" s="113"/>
      <c r="E243" s="113"/>
      <c r="F243" s="113"/>
      <c r="G243" s="113"/>
      <c r="H243" s="113"/>
    </row>
    <row r="244">
      <c r="A244" s="113"/>
      <c r="B244" s="113"/>
      <c r="C244" s="113"/>
      <c r="D244" s="113"/>
      <c r="E244" s="113"/>
      <c r="F244" s="113"/>
      <c r="G244" s="113"/>
      <c r="H244" s="113"/>
    </row>
    <row r="245">
      <c r="A245" s="113"/>
      <c r="B245" s="113"/>
      <c r="C245" s="113"/>
      <c r="D245" s="113"/>
      <c r="E245" s="113"/>
      <c r="F245" s="113"/>
      <c r="G245" s="113"/>
      <c r="H245" s="113"/>
    </row>
    <row r="246">
      <c r="A246" s="113"/>
      <c r="B246" s="113"/>
      <c r="C246" s="113"/>
      <c r="D246" s="113"/>
      <c r="E246" s="113"/>
      <c r="F246" s="113"/>
      <c r="G246" s="113"/>
      <c r="H246" s="113"/>
    </row>
    <row r="247">
      <c r="A247" s="113"/>
      <c r="B247" s="113"/>
      <c r="C247" s="113"/>
      <c r="D247" s="113"/>
      <c r="E247" s="113"/>
      <c r="F247" s="113"/>
      <c r="G247" s="113"/>
      <c r="H247" s="113"/>
    </row>
    <row r="248">
      <c r="A248" s="113"/>
      <c r="B248" s="113"/>
      <c r="C248" s="113"/>
      <c r="D248" s="113"/>
      <c r="E248" s="113"/>
      <c r="F248" s="113"/>
      <c r="G248" s="113"/>
      <c r="H248" s="113"/>
    </row>
    <row r="249">
      <c r="A249" s="113"/>
      <c r="B249" s="113"/>
      <c r="C249" s="113"/>
      <c r="D249" s="113"/>
      <c r="E249" s="113"/>
      <c r="F249" s="113"/>
      <c r="G249" s="113"/>
      <c r="H249" s="113"/>
    </row>
    <row r="250">
      <c r="A250" s="113"/>
      <c r="B250" s="113"/>
      <c r="C250" s="113"/>
      <c r="D250" s="113"/>
      <c r="E250" s="113"/>
      <c r="F250" s="113"/>
      <c r="G250" s="113"/>
      <c r="H250" s="113"/>
    </row>
    <row r="251">
      <c r="A251" s="113"/>
      <c r="B251" s="113"/>
      <c r="C251" s="113"/>
      <c r="D251" s="113"/>
      <c r="E251" s="113"/>
      <c r="F251" s="113"/>
      <c r="G251" s="113"/>
      <c r="H251" s="113"/>
    </row>
    <row r="252">
      <c r="A252" s="113"/>
      <c r="B252" s="113"/>
      <c r="C252" s="113"/>
      <c r="D252" s="113"/>
      <c r="E252" s="113"/>
      <c r="F252" s="113"/>
      <c r="G252" s="113"/>
      <c r="H252" s="113"/>
    </row>
    <row r="253">
      <c r="A253" s="113"/>
      <c r="B253" s="113"/>
      <c r="C253" s="113"/>
      <c r="D253" s="113"/>
      <c r="E253" s="113"/>
      <c r="F253" s="113"/>
      <c r="G253" s="113"/>
      <c r="H253" s="113"/>
    </row>
    <row r="254">
      <c r="A254" s="113"/>
      <c r="B254" s="113"/>
      <c r="C254" s="113"/>
      <c r="D254" s="113"/>
      <c r="E254" s="113"/>
      <c r="F254" s="113"/>
      <c r="G254" s="113"/>
      <c r="H254" s="113"/>
    </row>
    <row r="255">
      <c r="A255" s="113"/>
      <c r="B255" s="113"/>
      <c r="C255" s="113"/>
      <c r="D255" s="113"/>
      <c r="E255" s="113"/>
      <c r="F255" s="113"/>
      <c r="G255" s="113"/>
      <c r="H255" s="113"/>
    </row>
    <row r="256">
      <c r="A256" s="113"/>
      <c r="B256" s="113"/>
      <c r="C256" s="113"/>
      <c r="D256" s="113"/>
      <c r="E256" s="113"/>
      <c r="F256" s="113"/>
      <c r="G256" s="113"/>
      <c r="H256" s="113"/>
    </row>
    <row r="257">
      <c r="A257" s="113"/>
      <c r="B257" s="113"/>
      <c r="C257" s="113"/>
      <c r="D257" s="113"/>
      <c r="E257" s="113"/>
      <c r="F257" s="113"/>
      <c r="G257" s="113"/>
      <c r="H257" s="113"/>
    </row>
    <row r="258">
      <c r="A258" s="113"/>
      <c r="B258" s="113"/>
      <c r="C258" s="113"/>
      <c r="D258" s="113"/>
      <c r="E258" s="113"/>
      <c r="F258" s="113"/>
      <c r="G258" s="113"/>
      <c r="H258" s="113"/>
    </row>
    <row r="259">
      <c r="A259" s="113"/>
      <c r="B259" s="113"/>
      <c r="C259" s="113"/>
      <c r="D259" s="113"/>
      <c r="E259" s="113"/>
      <c r="F259" s="113"/>
      <c r="G259" s="113"/>
      <c r="H259" s="113"/>
    </row>
    <row r="260">
      <c r="A260" s="113"/>
      <c r="B260" s="113"/>
      <c r="C260" s="113"/>
      <c r="D260" s="113"/>
      <c r="E260" s="113"/>
      <c r="F260" s="113"/>
      <c r="G260" s="113"/>
      <c r="H260" s="113"/>
    </row>
    <row r="261">
      <c r="A261" s="113"/>
      <c r="B261" s="113"/>
      <c r="C261" s="113"/>
      <c r="D261" s="113"/>
      <c r="E261" s="113"/>
      <c r="F261" s="113"/>
      <c r="G261" s="113"/>
      <c r="H261" s="113"/>
    </row>
    <row r="262">
      <c r="A262" s="113"/>
      <c r="B262" s="113"/>
      <c r="C262" s="113"/>
      <c r="D262" s="113"/>
      <c r="E262" s="113"/>
      <c r="F262" s="113"/>
      <c r="G262" s="113"/>
      <c r="H262" s="113"/>
    </row>
    <row r="263">
      <c r="A263" s="113"/>
      <c r="B263" s="113"/>
      <c r="C263" s="113"/>
      <c r="D263" s="113"/>
      <c r="E263" s="113"/>
      <c r="F263" s="113"/>
      <c r="G263" s="113"/>
      <c r="H263" s="113"/>
    </row>
    <row r="264">
      <c r="A264" s="113"/>
      <c r="B264" s="113"/>
      <c r="C264" s="113"/>
      <c r="D264" s="113"/>
      <c r="E264" s="113"/>
      <c r="F264" s="113"/>
      <c r="G264" s="113"/>
      <c r="H264" s="113"/>
    </row>
    <row r="265">
      <c r="A265" s="113"/>
      <c r="B265" s="113"/>
      <c r="C265" s="113"/>
      <c r="D265" s="113"/>
      <c r="E265" s="113"/>
      <c r="F265" s="113"/>
      <c r="G265" s="113"/>
      <c r="H265" s="113"/>
    </row>
    <row r="266">
      <c r="A266" s="113"/>
      <c r="B266" s="113"/>
      <c r="C266" s="113"/>
      <c r="D266" s="113"/>
      <c r="E266" s="113"/>
      <c r="F266" s="113"/>
      <c r="G266" s="113"/>
      <c r="H266" s="113"/>
    </row>
    <row r="267">
      <c r="A267" s="113"/>
      <c r="B267" s="113"/>
      <c r="C267" s="113"/>
      <c r="D267" s="113"/>
      <c r="E267" s="113"/>
      <c r="F267" s="113"/>
      <c r="G267" s="113"/>
      <c r="H267" s="113"/>
    </row>
    <row r="268">
      <c r="A268" s="113"/>
      <c r="B268" s="113"/>
      <c r="C268" s="113"/>
      <c r="D268" s="113"/>
      <c r="E268" s="113"/>
      <c r="F268" s="113"/>
      <c r="G268" s="113"/>
      <c r="H268" s="113"/>
    </row>
    <row r="269">
      <c r="A269" s="113"/>
      <c r="B269" s="113"/>
      <c r="C269" s="113"/>
      <c r="D269" s="113"/>
      <c r="E269" s="113"/>
      <c r="F269" s="113"/>
      <c r="G269" s="113"/>
      <c r="H269" s="113"/>
    </row>
    <row r="270">
      <c r="A270" s="113"/>
      <c r="B270" s="113"/>
      <c r="C270" s="113"/>
      <c r="D270" s="113"/>
      <c r="E270" s="113"/>
      <c r="F270" s="113"/>
      <c r="G270" s="113"/>
      <c r="H270" s="113"/>
    </row>
    <row r="271">
      <c r="A271" s="113"/>
      <c r="B271" s="113"/>
      <c r="C271" s="113"/>
      <c r="D271" s="113"/>
      <c r="E271" s="113"/>
      <c r="F271" s="113"/>
      <c r="G271" s="113"/>
      <c r="H271" s="113"/>
    </row>
    <row r="272">
      <c r="A272" s="113"/>
      <c r="B272" s="113"/>
      <c r="C272" s="113"/>
      <c r="D272" s="113"/>
      <c r="E272" s="113"/>
      <c r="F272" s="113"/>
      <c r="G272" s="113"/>
      <c r="H272" s="113"/>
    </row>
    <row r="273">
      <c r="A273" s="113"/>
      <c r="B273" s="113"/>
      <c r="C273" s="113"/>
      <c r="D273" s="113"/>
      <c r="E273" s="113"/>
      <c r="F273" s="113"/>
      <c r="G273" s="113"/>
      <c r="H273" s="113"/>
    </row>
    <row r="274">
      <c r="A274" s="113"/>
      <c r="B274" s="113"/>
      <c r="C274" s="113"/>
      <c r="D274" s="113"/>
      <c r="E274" s="113"/>
      <c r="F274" s="113"/>
      <c r="G274" s="113"/>
      <c r="H274" s="113"/>
    </row>
    <row r="275">
      <c r="A275" s="113"/>
      <c r="B275" s="113"/>
      <c r="C275" s="113"/>
      <c r="D275" s="113"/>
      <c r="E275" s="113"/>
      <c r="F275" s="113"/>
      <c r="G275" s="113"/>
      <c r="H275" s="113"/>
    </row>
    <row r="276">
      <c r="A276" s="113"/>
      <c r="B276" s="113"/>
      <c r="C276" s="113"/>
      <c r="D276" s="113"/>
      <c r="E276" s="113"/>
      <c r="F276" s="113"/>
      <c r="G276" s="113"/>
      <c r="H276" s="113"/>
    </row>
    <row r="277">
      <c r="A277" s="113"/>
      <c r="B277" s="113"/>
      <c r="C277" s="113"/>
      <c r="D277" s="113"/>
      <c r="E277" s="113"/>
      <c r="F277" s="113"/>
      <c r="G277" s="113"/>
      <c r="H277" s="113"/>
    </row>
    <row r="278">
      <c r="A278" s="113"/>
      <c r="B278" s="113"/>
      <c r="C278" s="113"/>
      <c r="D278" s="113"/>
      <c r="E278" s="113"/>
      <c r="F278" s="113"/>
      <c r="G278" s="113"/>
      <c r="H278" s="113"/>
    </row>
    <row r="279">
      <c r="A279" s="113"/>
      <c r="B279" s="113"/>
      <c r="C279" s="113"/>
      <c r="D279" s="113"/>
      <c r="E279" s="113"/>
      <c r="F279" s="113"/>
      <c r="G279" s="113"/>
      <c r="H279" s="113"/>
    </row>
    <row r="280">
      <c r="A280" s="113"/>
      <c r="B280" s="113"/>
      <c r="C280" s="113"/>
      <c r="D280" s="113"/>
      <c r="E280" s="113"/>
      <c r="F280" s="113"/>
      <c r="G280" s="113"/>
      <c r="H280" s="113"/>
    </row>
    <row r="281">
      <c r="A281" s="113"/>
      <c r="B281" s="113"/>
      <c r="C281" s="113"/>
      <c r="D281" s="113"/>
      <c r="E281" s="113"/>
      <c r="F281" s="113"/>
      <c r="G281" s="113"/>
      <c r="H281" s="113"/>
    </row>
    <row r="282">
      <c r="A282" s="113"/>
      <c r="B282" s="113"/>
      <c r="C282" s="113"/>
      <c r="D282" s="113"/>
      <c r="E282" s="113"/>
      <c r="F282" s="113"/>
      <c r="G282" s="113"/>
      <c r="H282" s="113"/>
    </row>
    <row r="283">
      <c r="A283" s="113"/>
      <c r="B283" s="113"/>
      <c r="C283" s="113"/>
      <c r="D283" s="113"/>
      <c r="E283" s="113"/>
      <c r="F283" s="113"/>
      <c r="G283" s="113"/>
      <c r="H283" s="113"/>
    </row>
    <row r="284">
      <c r="A284" s="113"/>
      <c r="B284" s="113"/>
      <c r="C284" s="113"/>
      <c r="D284" s="113"/>
      <c r="E284" s="113"/>
      <c r="F284" s="113"/>
      <c r="G284" s="113"/>
      <c r="H284" s="113"/>
    </row>
    <row r="285">
      <c r="A285" s="113"/>
      <c r="B285" s="113"/>
      <c r="C285" s="113"/>
      <c r="D285" s="113"/>
      <c r="E285" s="113"/>
      <c r="F285" s="113"/>
      <c r="G285" s="113"/>
      <c r="H285" s="113"/>
    </row>
    <row r="286">
      <c r="A286" s="113"/>
      <c r="B286" s="113"/>
      <c r="C286" s="113"/>
      <c r="D286" s="113"/>
      <c r="E286" s="113"/>
      <c r="F286" s="113"/>
      <c r="G286" s="113"/>
      <c r="H286" s="113"/>
    </row>
    <row r="287">
      <c r="A287" s="113"/>
      <c r="B287" s="113"/>
      <c r="C287" s="113"/>
      <c r="D287" s="113"/>
      <c r="E287" s="113"/>
      <c r="F287" s="113"/>
      <c r="G287" s="113"/>
      <c r="H287" s="113"/>
    </row>
    <row r="288">
      <c r="A288" s="113"/>
      <c r="B288" s="113"/>
      <c r="C288" s="113"/>
      <c r="D288" s="113"/>
      <c r="E288" s="113"/>
      <c r="F288" s="113"/>
      <c r="G288" s="113"/>
      <c r="H288" s="113"/>
    </row>
    <row r="289">
      <c r="A289" s="113"/>
      <c r="B289" s="113"/>
      <c r="C289" s="113"/>
      <c r="D289" s="113"/>
      <c r="E289" s="113"/>
      <c r="F289" s="113"/>
      <c r="G289" s="113"/>
      <c r="H289" s="113"/>
    </row>
    <row r="290">
      <c r="A290" s="113"/>
      <c r="B290" s="113"/>
      <c r="C290" s="113"/>
      <c r="D290" s="113"/>
      <c r="E290" s="113"/>
      <c r="F290" s="113"/>
      <c r="G290" s="113"/>
      <c r="H290" s="113"/>
    </row>
    <row r="291">
      <c r="A291" s="113"/>
      <c r="B291" s="113"/>
      <c r="C291" s="113"/>
      <c r="D291" s="113"/>
      <c r="E291" s="113"/>
      <c r="F291" s="113"/>
      <c r="G291" s="113"/>
      <c r="H291" s="113"/>
    </row>
    <row r="292">
      <c r="A292" s="113"/>
      <c r="B292" s="113"/>
      <c r="C292" s="113"/>
      <c r="D292" s="113"/>
      <c r="E292" s="113"/>
      <c r="F292" s="113"/>
      <c r="G292" s="113"/>
      <c r="H292" s="113"/>
    </row>
    <row r="293">
      <c r="A293" s="113"/>
      <c r="B293" s="113"/>
      <c r="C293" s="113"/>
      <c r="D293" s="113"/>
      <c r="E293" s="113"/>
      <c r="F293" s="113"/>
      <c r="G293" s="113"/>
      <c r="H293" s="113"/>
    </row>
    <row r="294">
      <c r="A294" s="113"/>
      <c r="B294" s="113"/>
      <c r="C294" s="113"/>
      <c r="D294" s="113"/>
      <c r="E294" s="113"/>
      <c r="F294" s="113"/>
      <c r="G294" s="113"/>
      <c r="H294" s="113"/>
    </row>
    <row r="295">
      <c r="A295" s="113"/>
      <c r="B295" s="113"/>
      <c r="C295" s="113"/>
      <c r="D295" s="113"/>
      <c r="E295" s="113"/>
      <c r="F295" s="113"/>
      <c r="G295" s="113"/>
      <c r="H295" s="113"/>
    </row>
    <row r="296">
      <c r="A296" s="113"/>
      <c r="B296" s="113"/>
      <c r="C296" s="113"/>
      <c r="D296" s="113"/>
      <c r="E296" s="113"/>
      <c r="F296" s="113"/>
      <c r="G296" s="113"/>
      <c r="H296" s="113"/>
    </row>
    <row r="297">
      <c r="A297" s="113"/>
      <c r="B297" s="113"/>
      <c r="C297" s="113"/>
      <c r="D297" s="113"/>
      <c r="E297" s="113"/>
      <c r="F297" s="113"/>
      <c r="G297" s="113"/>
      <c r="H297" s="113"/>
    </row>
    <row r="298">
      <c r="A298" s="113"/>
      <c r="B298" s="113"/>
      <c r="C298" s="113"/>
      <c r="D298" s="113"/>
      <c r="E298" s="113"/>
      <c r="F298" s="113"/>
      <c r="G298" s="113"/>
      <c r="H298" s="113"/>
    </row>
    <row r="299">
      <c r="A299" s="113"/>
      <c r="B299" s="113"/>
      <c r="C299" s="113"/>
      <c r="D299" s="113"/>
      <c r="E299" s="113"/>
      <c r="F299" s="113"/>
      <c r="G299" s="113"/>
      <c r="H299" s="113"/>
    </row>
    <row r="300">
      <c r="A300" s="113"/>
      <c r="B300" s="113"/>
      <c r="C300" s="113"/>
      <c r="D300" s="113"/>
      <c r="E300" s="113"/>
      <c r="F300" s="113"/>
      <c r="G300" s="113"/>
      <c r="H300" s="113"/>
    </row>
    <row r="301">
      <c r="A301" s="113"/>
      <c r="B301" s="113"/>
      <c r="C301" s="113"/>
      <c r="D301" s="113"/>
      <c r="E301" s="113"/>
      <c r="F301" s="113"/>
      <c r="G301" s="113"/>
      <c r="H301" s="113"/>
    </row>
    <row r="302">
      <c r="A302" s="113"/>
      <c r="B302" s="113"/>
      <c r="C302" s="113"/>
      <c r="D302" s="113"/>
      <c r="E302" s="113"/>
      <c r="F302" s="113"/>
      <c r="G302" s="113"/>
      <c r="H302" s="113"/>
    </row>
    <row r="303">
      <c r="A303" s="113"/>
      <c r="B303" s="113"/>
      <c r="C303" s="113"/>
      <c r="D303" s="113"/>
      <c r="E303" s="113"/>
      <c r="F303" s="113"/>
      <c r="G303" s="113"/>
      <c r="H303" s="113"/>
    </row>
    <row r="304">
      <c r="A304" s="113"/>
      <c r="B304" s="113"/>
      <c r="C304" s="113"/>
      <c r="D304" s="113"/>
      <c r="E304" s="113"/>
      <c r="F304" s="113"/>
      <c r="G304" s="113"/>
      <c r="H304" s="113"/>
    </row>
    <row r="305">
      <c r="A305" s="113"/>
      <c r="B305" s="113"/>
      <c r="C305" s="113"/>
      <c r="D305" s="113"/>
      <c r="E305" s="113"/>
      <c r="F305" s="113"/>
      <c r="G305" s="113"/>
      <c r="H305" s="113"/>
    </row>
    <row r="306">
      <c r="A306" s="113"/>
      <c r="B306" s="113"/>
      <c r="C306" s="113"/>
      <c r="D306" s="113"/>
      <c r="E306" s="113"/>
      <c r="F306" s="113"/>
      <c r="G306" s="113"/>
      <c r="H306" s="113"/>
    </row>
    <row r="307">
      <c r="A307" s="113"/>
      <c r="B307" s="113"/>
      <c r="C307" s="113"/>
      <c r="D307" s="113"/>
      <c r="E307" s="113"/>
      <c r="F307" s="113"/>
      <c r="G307" s="113"/>
      <c r="H307" s="113"/>
    </row>
    <row r="308">
      <c r="A308" s="113"/>
      <c r="B308" s="113"/>
      <c r="C308" s="113"/>
      <c r="D308" s="113"/>
      <c r="E308" s="113"/>
      <c r="F308" s="113"/>
      <c r="G308" s="113"/>
      <c r="H308" s="113"/>
    </row>
    <row r="309">
      <c r="A309" s="113"/>
      <c r="B309" s="113"/>
      <c r="C309" s="113"/>
      <c r="D309" s="113"/>
      <c r="E309" s="113"/>
      <c r="F309" s="113"/>
      <c r="G309" s="113"/>
      <c r="H309" s="113"/>
    </row>
    <row r="310">
      <c r="A310" s="113"/>
      <c r="B310" s="113"/>
      <c r="C310" s="113"/>
      <c r="D310" s="113"/>
      <c r="E310" s="113"/>
      <c r="F310" s="113"/>
      <c r="G310" s="113"/>
      <c r="H310" s="113"/>
    </row>
    <row r="311">
      <c r="A311" s="113"/>
      <c r="B311" s="113"/>
      <c r="C311" s="113"/>
      <c r="D311" s="113"/>
      <c r="E311" s="113"/>
      <c r="F311" s="113"/>
      <c r="G311" s="113"/>
      <c r="H311" s="113"/>
    </row>
    <row r="312">
      <c r="A312" s="113"/>
      <c r="B312" s="113"/>
      <c r="C312" s="113"/>
      <c r="D312" s="113"/>
      <c r="E312" s="113"/>
      <c r="F312" s="113"/>
      <c r="G312" s="113"/>
      <c r="H312" s="113"/>
    </row>
    <row r="313">
      <c r="A313" s="113"/>
      <c r="B313" s="113"/>
      <c r="C313" s="113"/>
      <c r="D313" s="113"/>
      <c r="E313" s="113"/>
      <c r="F313" s="113"/>
      <c r="G313" s="113"/>
      <c r="H313" s="113"/>
    </row>
    <row r="314">
      <c r="A314" s="113"/>
      <c r="B314" s="113"/>
      <c r="C314" s="113"/>
      <c r="D314" s="113"/>
      <c r="E314" s="113"/>
      <c r="F314" s="113"/>
      <c r="G314" s="113"/>
      <c r="H314" s="113"/>
    </row>
    <row r="315">
      <c r="A315" s="113"/>
      <c r="B315" s="113"/>
      <c r="C315" s="113"/>
      <c r="D315" s="113"/>
      <c r="E315" s="113"/>
      <c r="F315" s="113"/>
      <c r="G315" s="113"/>
      <c r="H315" s="113"/>
    </row>
    <row r="316">
      <c r="A316" s="113"/>
      <c r="B316" s="113"/>
      <c r="C316" s="113"/>
      <c r="D316" s="113"/>
      <c r="E316" s="113"/>
      <c r="F316" s="113"/>
      <c r="G316" s="113"/>
      <c r="H316" s="113"/>
    </row>
    <row r="317">
      <c r="A317" s="113"/>
      <c r="B317" s="113"/>
      <c r="C317" s="113"/>
      <c r="D317" s="113"/>
      <c r="E317" s="113"/>
      <c r="F317" s="113"/>
      <c r="G317" s="113"/>
      <c r="H317" s="113"/>
    </row>
    <row r="318">
      <c r="A318" s="113"/>
      <c r="B318" s="113"/>
      <c r="C318" s="113"/>
      <c r="D318" s="113"/>
      <c r="E318" s="113"/>
      <c r="F318" s="113"/>
      <c r="G318" s="113"/>
      <c r="H318" s="113"/>
    </row>
    <row r="319">
      <c r="A319" s="113"/>
      <c r="B319" s="113"/>
      <c r="C319" s="113"/>
      <c r="D319" s="113"/>
      <c r="E319" s="113"/>
      <c r="F319" s="113"/>
      <c r="G319" s="113"/>
      <c r="H319" s="113"/>
    </row>
    <row r="320">
      <c r="A320" s="113"/>
      <c r="B320" s="113"/>
      <c r="C320" s="113"/>
      <c r="D320" s="113"/>
      <c r="E320" s="113"/>
      <c r="F320" s="113"/>
      <c r="G320" s="113"/>
      <c r="H320" s="113"/>
    </row>
    <row r="321">
      <c r="A321" s="113"/>
      <c r="B321" s="113"/>
      <c r="C321" s="113"/>
      <c r="D321" s="113"/>
      <c r="E321" s="113"/>
      <c r="F321" s="113"/>
      <c r="G321" s="113"/>
      <c r="H321" s="113"/>
    </row>
    <row r="322">
      <c r="A322" s="113"/>
      <c r="B322" s="113"/>
      <c r="C322" s="113"/>
      <c r="D322" s="113"/>
      <c r="E322" s="113"/>
      <c r="F322" s="113"/>
      <c r="G322" s="113"/>
      <c r="H322" s="113"/>
    </row>
    <row r="323">
      <c r="A323" s="113"/>
      <c r="B323" s="113"/>
      <c r="C323" s="113"/>
      <c r="D323" s="113"/>
      <c r="E323" s="113"/>
      <c r="F323" s="113"/>
      <c r="G323" s="113"/>
      <c r="H323" s="113"/>
    </row>
    <row r="324">
      <c r="A324" s="113"/>
      <c r="B324" s="113"/>
      <c r="C324" s="113"/>
      <c r="D324" s="113"/>
      <c r="E324" s="113"/>
      <c r="F324" s="113"/>
      <c r="G324" s="113"/>
      <c r="H324" s="113"/>
    </row>
    <row r="325">
      <c r="A325" s="113"/>
      <c r="B325" s="113"/>
      <c r="C325" s="113"/>
      <c r="D325" s="113"/>
      <c r="E325" s="113"/>
      <c r="F325" s="113"/>
      <c r="G325" s="113"/>
      <c r="H325" s="113"/>
    </row>
    <row r="326">
      <c r="A326" s="113"/>
      <c r="B326" s="113"/>
      <c r="C326" s="113"/>
      <c r="D326" s="113"/>
      <c r="E326" s="113"/>
      <c r="F326" s="113"/>
      <c r="G326" s="113"/>
      <c r="H326" s="113"/>
    </row>
    <row r="327">
      <c r="A327" s="113"/>
      <c r="B327" s="113"/>
      <c r="C327" s="113"/>
      <c r="D327" s="113"/>
      <c r="E327" s="113"/>
      <c r="F327" s="113"/>
      <c r="G327" s="113"/>
      <c r="H327" s="113"/>
    </row>
    <row r="328">
      <c r="A328" s="113"/>
      <c r="B328" s="113"/>
      <c r="C328" s="113"/>
      <c r="D328" s="113"/>
      <c r="E328" s="113"/>
      <c r="F328" s="113"/>
      <c r="G328" s="113"/>
      <c r="H328" s="113"/>
    </row>
    <row r="329">
      <c r="A329" s="113"/>
      <c r="B329" s="113"/>
      <c r="C329" s="113"/>
      <c r="D329" s="113"/>
      <c r="E329" s="113"/>
      <c r="F329" s="113"/>
      <c r="G329" s="113"/>
      <c r="H329" s="113"/>
    </row>
    <row r="330">
      <c r="A330" s="113"/>
      <c r="B330" s="113"/>
      <c r="C330" s="113"/>
      <c r="D330" s="113"/>
      <c r="E330" s="113"/>
      <c r="F330" s="113"/>
      <c r="G330" s="113"/>
      <c r="H330" s="113"/>
    </row>
    <row r="331">
      <c r="A331" s="113"/>
      <c r="B331" s="113"/>
      <c r="C331" s="113"/>
      <c r="D331" s="113"/>
      <c r="E331" s="113"/>
      <c r="F331" s="113"/>
      <c r="G331" s="113"/>
      <c r="H331" s="113"/>
    </row>
    <row r="332">
      <c r="A332" s="113"/>
      <c r="B332" s="113"/>
      <c r="C332" s="113"/>
      <c r="D332" s="113"/>
      <c r="E332" s="113"/>
      <c r="F332" s="113"/>
      <c r="G332" s="113"/>
      <c r="H332" s="113"/>
    </row>
    <row r="333">
      <c r="A333" s="113"/>
      <c r="B333" s="113"/>
      <c r="C333" s="113"/>
      <c r="D333" s="113"/>
      <c r="E333" s="113"/>
      <c r="F333" s="113"/>
      <c r="G333" s="113"/>
      <c r="H333" s="113"/>
    </row>
    <row r="334">
      <c r="A334" s="113"/>
      <c r="B334" s="113"/>
      <c r="C334" s="113"/>
      <c r="D334" s="113"/>
      <c r="E334" s="113"/>
      <c r="F334" s="113"/>
      <c r="G334" s="113"/>
      <c r="H334" s="113"/>
    </row>
    <row r="335">
      <c r="A335" s="113"/>
      <c r="B335" s="113"/>
      <c r="C335" s="113"/>
      <c r="D335" s="113"/>
      <c r="E335" s="113"/>
      <c r="F335" s="113"/>
      <c r="G335" s="113"/>
      <c r="H335" s="113"/>
    </row>
    <row r="336">
      <c r="A336" s="113"/>
      <c r="B336" s="113"/>
      <c r="C336" s="113"/>
      <c r="D336" s="113"/>
      <c r="E336" s="113"/>
      <c r="F336" s="113"/>
      <c r="G336" s="113"/>
      <c r="H336" s="113"/>
    </row>
    <row r="337">
      <c r="A337" s="113"/>
      <c r="B337" s="113"/>
      <c r="C337" s="113"/>
      <c r="D337" s="113"/>
      <c r="E337" s="113"/>
      <c r="F337" s="113"/>
      <c r="G337" s="113"/>
      <c r="H337" s="113"/>
    </row>
    <row r="338">
      <c r="A338" s="113"/>
      <c r="B338" s="113"/>
      <c r="C338" s="113"/>
      <c r="D338" s="113"/>
      <c r="E338" s="113"/>
      <c r="F338" s="113"/>
      <c r="G338" s="113"/>
      <c r="H338" s="113"/>
    </row>
    <row r="339">
      <c r="A339" s="113"/>
      <c r="B339" s="113"/>
      <c r="C339" s="113"/>
      <c r="D339" s="113"/>
      <c r="E339" s="113"/>
      <c r="F339" s="113"/>
      <c r="G339" s="113"/>
      <c r="H339" s="113"/>
    </row>
    <row r="340">
      <c r="A340" s="113"/>
      <c r="B340" s="113"/>
      <c r="C340" s="113"/>
      <c r="D340" s="113"/>
      <c r="E340" s="113"/>
      <c r="F340" s="113"/>
      <c r="G340" s="113"/>
      <c r="H340" s="113"/>
    </row>
    <row r="341">
      <c r="A341" s="113"/>
      <c r="B341" s="113"/>
      <c r="C341" s="113"/>
      <c r="D341" s="113"/>
      <c r="E341" s="113"/>
      <c r="F341" s="113"/>
      <c r="G341" s="113"/>
      <c r="H341" s="113"/>
    </row>
    <row r="342">
      <c r="A342" s="113"/>
      <c r="B342" s="113"/>
      <c r="C342" s="113"/>
      <c r="D342" s="113"/>
      <c r="E342" s="113"/>
      <c r="F342" s="113"/>
      <c r="G342" s="113"/>
      <c r="H342" s="113"/>
    </row>
    <row r="343">
      <c r="A343" s="113"/>
      <c r="B343" s="113"/>
      <c r="C343" s="113"/>
      <c r="D343" s="113"/>
      <c r="E343" s="113"/>
      <c r="F343" s="113"/>
      <c r="G343" s="113"/>
      <c r="H343" s="113"/>
    </row>
    <row r="344">
      <c r="A344" s="113"/>
      <c r="B344" s="113"/>
      <c r="C344" s="113"/>
      <c r="D344" s="113"/>
      <c r="E344" s="113"/>
      <c r="F344" s="113"/>
      <c r="G344" s="113"/>
      <c r="H344" s="113"/>
    </row>
    <row r="345">
      <c r="A345" s="113"/>
      <c r="B345" s="113"/>
      <c r="C345" s="113"/>
      <c r="D345" s="113"/>
      <c r="E345" s="113"/>
      <c r="F345" s="113"/>
      <c r="G345" s="113"/>
      <c r="H345" s="113"/>
    </row>
    <row r="346">
      <c r="A346" s="113"/>
      <c r="B346" s="113"/>
      <c r="C346" s="113"/>
      <c r="D346" s="113"/>
      <c r="E346" s="113"/>
      <c r="F346" s="113"/>
      <c r="G346" s="113"/>
      <c r="H346" s="113"/>
    </row>
    <row r="347">
      <c r="A347" s="113"/>
      <c r="B347" s="113"/>
      <c r="C347" s="113"/>
      <c r="D347" s="113"/>
      <c r="E347" s="113"/>
      <c r="F347" s="113"/>
      <c r="G347" s="113"/>
      <c r="H347" s="113"/>
    </row>
    <row r="348">
      <c r="A348" s="113"/>
      <c r="B348" s="113"/>
      <c r="C348" s="113"/>
      <c r="D348" s="113"/>
      <c r="E348" s="113"/>
      <c r="F348" s="113"/>
      <c r="G348" s="113"/>
      <c r="H348" s="113"/>
    </row>
    <row r="349">
      <c r="A349" s="113"/>
      <c r="B349" s="113"/>
      <c r="C349" s="113"/>
      <c r="D349" s="113"/>
      <c r="E349" s="113"/>
      <c r="F349" s="113"/>
      <c r="G349" s="113"/>
      <c r="H349" s="113"/>
    </row>
    <row r="350">
      <c r="A350" s="113"/>
      <c r="B350" s="113"/>
      <c r="C350" s="113"/>
      <c r="D350" s="113"/>
      <c r="E350" s="113"/>
      <c r="F350" s="113"/>
      <c r="G350" s="113"/>
      <c r="H350" s="113"/>
    </row>
    <row r="351">
      <c r="A351" s="113"/>
      <c r="B351" s="113"/>
      <c r="C351" s="113"/>
      <c r="D351" s="113"/>
      <c r="E351" s="113"/>
      <c r="F351" s="113"/>
      <c r="G351" s="113"/>
      <c r="H351" s="113"/>
    </row>
    <row r="352">
      <c r="A352" s="113"/>
      <c r="B352" s="113"/>
      <c r="C352" s="113"/>
      <c r="D352" s="113"/>
      <c r="E352" s="113"/>
      <c r="F352" s="113"/>
      <c r="G352" s="113"/>
      <c r="H352" s="113"/>
    </row>
    <row r="353">
      <c r="A353" s="113"/>
      <c r="B353" s="113"/>
      <c r="C353" s="113"/>
      <c r="D353" s="113"/>
      <c r="E353" s="113"/>
      <c r="F353" s="113"/>
      <c r="G353" s="113"/>
      <c r="H353" s="113"/>
    </row>
    <row r="354">
      <c r="A354" s="113"/>
      <c r="B354" s="113"/>
      <c r="C354" s="113"/>
      <c r="D354" s="113"/>
      <c r="E354" s="113"/>
      <c r="F354" s="113"/>
      <c r="G354" s="113"/>
      <c r="H354" s="113"/>
    </row>
    <row r="355">
      <c r="A355" s="113"/>
      <c r="B355" s="113"/>
      <c r="C355" s="113"/>
      <c r="D355" s="113"/>
      <c r="E355" s="113"/>
      <c r="F355" s="113"/>
      <c r="G355" s="113"/>
      <c r="H355" s="113"/>
    </row>
    <row r="356">
      <c r="A356" s="113"/>
      <c r="B356" s="113"/>
      <c r="C356" s="113"/>
      <c r="D356" s="113"/>
      <c r="E356" s="113"/>
      <c r="F356" s="113"/>
      <c r="G356" s="113"/>
      <c r="H356" s="113"/>
    </row>
    <row r="357">
      <c r="A357" s="113"/>
      <c r="B357" s="113"/>
      <c r="C357" s="113"/>
      <c r="D357" s="113"/>
      <c r="E357" s="113"/>
      <c r="F357" s="113"/>
      <c r="G357" s="113"/>
      <c r="H357" s="113"/>
    </row>
    <row r="358">
      <c r="A358" s="113"/>
      <c r="B358" s="113"/>
      <c r="C358" s="113"/>
      <c r="D358" s="113"/>
      <c r="E358" s="113"/>
      <c r="F358" s="113"/>
      <c r="G358" s="113"/>
      <c r="H358" s="113"/>
    </row>
    <row r="359">
      <c r="A359" s="113"/>
      <c r="B359" s="113"/>
      <c r="C359" s="113"/>
      <c r="D359" s="113"/>
      <c r="E359" s="113"/>
      <c r="F359" s="113"/>
      <c r="G359" s="113"/>
      <c r="H359" s="113"/>
    </row>
    <row r="360">
      <c r="A360" s="113"/>
      <c r="B360" s="113"/>
      <c r="C360" s="113"/>
      <c r="D360" s="113"/>
      <c r="E360" s="113"/>
      <c r="F360" s="113"/>
      <c r="G360" s="113"/>
      <c r="H360" s="113"/>
    </row>
    <row r="361">
      <c r="A361" s="113"/>
      <c r="B361" s="113"/>
      <c r="C361" s="113"/>
      <c r="D361" s="113"/>
      <c r="E361" s="113"/>
      <c r="F361" s="113"/>
      <c r="G361" s="113"/>
      <c r="H361" s="113"/>
    </row>
    <row r="362">
      <c r="A362" s="113"/>
      <c r="B362" s="113"/>
      <c r="C362" s="113"/>
      <c r="D362" s="113"/>
      <c r="E362" s="113"/>
      <c r="F362" s="113"/>
      <c r="G362" s="113"/>
      <c r="H362" s="113"/>
    </row>
    <row r="363">
      <c r="A363" s="113"/>
      <c r="B363" s="113"/>
      <c r="C363" s="113"/>
      <c r="D363" s="113"/>
      <c r="E363" s="113"/>
      <c r="F363" s="113"/>
      <c r="G363" s="113"/>
      <c r="H363" s="113"/>
    </row>
    <row r="364">
      <c r="A364" s="113"/>
      <c r="B364" s="113"/>
      <c r="C364" s="113"/>
      <c r="D364" s="113"/>
      <c r="E364" s="113"/>
      <c r="F364" s="113"/>
      <c r="G364" s="113"/>
      <c r="H364" s="113"/>
    </row>
    <row r="365">
      <c r="A365" s="113"/>
      <c r="B365" s="113"/>
      <c r="C365" s="113"/>
      <c r="D365" s="113"/>
      <c r="E365" s="113"/>
      <c r="F365" s="113"/>
      <c r="G365" s="113"/>
      <c r="H365" s="113"/>
    </row>
    <row r="366">
      <c r="A366" s="113"/>
      <c r="B366" s="113"/>
      <c r="C366" s="113"/>
      <c r="D366" s="113"/>
      <c r="E366" s="113"/>
      <c r="F366" s="113"/>
      <c r="G366" s="113"/>
      <c r="H366" s="113"/>
    </row>
    <row r="367">
      <c r="A367" s="113"/>
      <c r="B367" s="113"/>
      <c r="C367" s="113"/>
      <c r="D367" s="113"/>
      <c r="E367" s="113"/>
      <c r="F367" s="113"/>
      <c r="G367" s="113"/>
      <c r="H367" s="113"/>
    </row>
    <row r="368">
      <c r="A368" s="113"/>
      <c r="B368" s="113"/>
      <c r="C368" s="113"/>
      <c r="D368" s="113"/>
      <c r="E368" s="113"/>
      <c r="F368" s="113"/>
      <c r="G368" s="113"/>
      <c r="H368" s="113"/>
    </row>
    <row r="369">
      <c r="A369" s="113"/>
      <c r="B369" s="113"/>
      <c r="C369" s="113"/>
      <c r="D369" s="113"/>
      <c r="E369" s="113"/>
      <c r="F369" s="113"/>
      <c r="G369" s="113"/>
      <c r="H369" s="113"/>
    </row>
    <row r="370">
      <c r="A370" s="113"/>
      <c r="B370" s="113"/>
      <c r="C370" s="113"/>
      <c r="D370" s="113"/>
      <c r="E370" s="113"/>
      <c r="F370" s="113"/>
      <c r="G370" s="113"/>
      <c r="H370" s="113"/>
    </row>
    <row r="371">
      <c r="A371" s="113"/>
      <c r="B371" s="113"/>
      <c r="C371" s="113"/>
      <c r="D371" s="113"/>
      <c r="E371" s="113"/>
      <c r="F371" s="113"/>
      <c r="G371" s="113"/>
      <c r="H371" s="113"/>
    </row>
    <row r="372">
      <c r="A372" s="113"/>
      <c r="B372" s="113"/>
      <c r="C372" s="113"/>
      <c r="D372" s="113"/>
      <c r="E372" s="113"/>
      <c r="F372" s="113"/>
      <c r="G372" s="113"/>
      <c r="H372" s="113"/>
    </row>
    <row r="373">
      <c r="A373" s="113"/>
      <c r="B373" s="113"/>
      <c r="C373" s="113"/>
      <c r="D373" s="113"/>
      <c r="E373" s="113"/>
      <c r="F373" s="113"/>
      <c r="G373" s="113"/>
      <c r="H373" s="113"/>
    </row>
    <row r="374">
      <c r="A374" s="113"/>
      <c r="B374" s="113"/>
      <c r="C374" s="113"/>
      <c r="D374" s="113"/>
      <c r="E374" s="113"/>
      <c r="F374" s="113"/>
      <c r="G374" s="113"/>
      <c r="H374" s="113"/>
    </row>
    <row r="375">
      <c r="A375" s="113"/>
      <c r="B375" s="113"/>
      <c r="C375" s="113"/>
      <c r="D375" s="113"/>
      <c r="E375" s="113"/>
      <c r="F375" s="113"/>
      <c r="G375" s="113"/>
      <c r="H375" s="113"/>
    </row>
    <row r="376">
      <c r="A376" s="113"/>
      <c r="B376" s="113"/>
      <c r="C376" s="113"/>
      <c r="D376" s="113"/>
      <c r="E376" s="113"/>
      <c r="F376" s="113"/>
      <c r="G376" s="113"/>
      <c r="H376" s="113"/>
    </row>
    <row r="377">
      <c r="A377" s="113"/>
      <c r="B377" s="113"/>
      <c r="C377" s="113"/>
      <c r="D377" s="113"/>
      <c r="E377" s="113"/>
      <c r="F377" s="113"/>
      <c r="G377" s="113"/>
      <c r="H377" s="113"/>
    </row>
    <row r="378">
      <c r="A378" s="113"/>
      <c r="B378" s="113"/>
      <c r="C378" s="113"/>
      <c r="D378" s="113"/>
      <c r="E378" s="113"/>
      <c r="F378" s="113"/>
      <c r="G378" s="113"/>
      <c r="H378" s="113"/>
    </row>
    <row r="379">
      <c r="A379" s="113"/>
      <c r="B379" s="113"/>
      <c r="C379" s="113"/>
      <c r="D379" s="113"/>
      <c r="E379" s="113"/>
      <c r="F379" s="113"/>
      <c r="G379" s="113"/>
      <c r="H379" s="113"/>
    </row>
    <row r="380">
      <c r="A380" s="113"/>
      <c r="B380" s="113"/>
      <c r="C380" s="113"/>
      <c r="D380" s="113"/>
      <c r="E380" s="113"/>
      <c r="F380" s="113"/>
      <c r="G380" s="113"/>
      <c r="H380" s="113"/>
    </row>
    <row r="381">
      <c r="A381" s="113"/>
      <c r="B381" s="113"/>
      <c r="C381" s="113"/>
      <c r="D381" s="113"/>
      <c r="E381" s="113"/>
      <c r="F381" s="113"/>
      <c r="G381" s="113"/>
      <c r="H381" s="113"/>
    </row>
    <row r="382">
      <c r="A382" s="113"/>
      <c r="B382" s="113"/>
      <c r="C382" s="113"/>
      <c r="D382" s="113"/>
      <c r="E382" s="113"/>
      <c r="F382" s="113"/>
      <c r="G382" s="113"/>
      <c r="H382" s="113"/>
    </row>
    <row r="383">
      <c r="A383" s="113"/>
      <c r="B383" s="113"/>
      <c r="C383" s="113"/>
      <c r="D383" s="113"/>
      <c r="E383" s="113"/>
      <c r="F383" s="113"/>
      <c r="G383" s="113"/>
      <c r="H383" s="113"/>
    </row>
    <row r="384">
      <c r="A384" s="113"/>
      <c r="B384" s="113"/>
      <c r="C384" s="113"/>
      <c r="D384" s="113"/>
      <c r="E384" s="113"/>
      <c r="F384" s="113"/>
      <c r="G384" s="113"/>
      <c r="H384" s="113"/>
    </row>
    <row r="385">
      <c r="A385" s="113"/>
      <c r="B385" s="113"/>
      <c r="C385" s="113"/>
      <c r="D385" s="113"/>
      <c r="E385" s="113"/>
      <c r="F385" s="113"/>
      <c r="G385" s="113"/>
      <c r="H385" s="113"/>
    </row>
    <row r="386">
      <c r="A386" s="113"/>
      <c r="B386" s="113"/>
      <c r="C386" s="113"/>
      <c r="D386" s="113"/>
      <c r="E386" s="113"/>
      <c r="F386" s="113"/>
      <c r="G386" s="113"/>
      <c r="H386" s="113"/>
    </row>
    <row r="387">
      <c r="A387" s="113"/>
      <c r="B387" s="113"/>
      <c r="C387" s="113"/>
      <c r="D387" s="113"/>
      <c r="E387" s="113"/>
      <c r="F387" s="113"/>
      <c r="G387" s="113"/>
      <c r="H387" s="113"/>
    </row>
    <row r="388">
      <c r="A388" s="113"/>
      <c r="B388" s="113"/>
      <c r="C388" s="113"/>
      <c r="D388" s="113"/>
      <c r="E388" s="113"/>
      <c r="F388" s="113"/>
      <c r="G388" s="113"/>
      <c r="H388" s="113"/>
    </row>
    <row r="389">
      <c r="A389" s="113"/>
      <c r="B389" s="113"/>
      <c r="C389" s="113"/>
      <c r="D389" s="113"/>
      <c r="E389" s="113"/>
      <c r="F389" s="113"/>
      <c r="G389" s="113"/>
      <c r="H389" s="113"/>
    </row>
    <row r="390">
      <c r="A390" s="113"/>
      <c r="B390" s="113"/>
      <c r="C390" s="113"/>
      <c r="D390" s="113"/>
      <c r="E390" s="113"/>
      <c r="F390" s="113"/>
      <c r="G390" s="113"/>
      <c r="H390" s="113"/>
    </row>
    <row r="391">
      <c r="A391" s="113"/>
      <c r="B391" s="113"/>
      <c r="C391" s="113"/>
      <c r="D391" s="113"/>
      <c r="E391" s="113"/>
      <c r="F391" s="113"/>
      <c r="G391" s="113"/>
      <c r="H391" s="113"/>
    </row>
    <row r="392">
      <c r="A392" s="113"/>
      <c r="B392" s="113"/>
      <c r="C392" s="113"/>
      <c r="D392" s="113"/>
      <c r="E392" s="113"/>
      <c r="F392" s="113"/>
      <c r="G392" s="113"/>
      <c r="H392" s="113"/>
    </row>
    <row r="393">
      <c r="A393" s="113"/>
      <c r="B393" s="113"/>
      <c r="C393" s="113"/>
      <c r="D393" s="113"/>
      <c r="E393" s="113"/>
      <c r="F393" s="113"/>
      <c r="G393" s="113"/>
      <c r="H393" s="113"/>
    </row>
    <row r="394">
      <c r="A394" s="113"/>
      <c r="B394" s="113"/>
      <c r="C394" s="113"/>
      <c r="D394" s="113"/>
      <c r="E394" s="113"/>
      <c r="F394" s="113"/>
      <c r="G394" s="113"/>
      <c r="H394" s="113"/>
    </row>
    <row r="395">
      <c r="A395" s="113"/>
      <c r="B395" s="113"/>
      <c r="C395" s="113"/>
      <c r="D395" s="113"/>
      <c r="E395" s="113"/>
      <c r="F395" s="113"/>
      <c r="G395" s="113"/>
      <c r="H395" s="113"/>
    </row>
    <row r="396">
      <c r="A396" s="113"/>
      <c r="B396" s="113"/>
      <c r="C396" s="113"/>
      <c r="D396" s="113"/>
      <c r="E396" s="113"/>
      <c r="F396" s="113"/>
      <c r="G396" s="113"/>
      <c r="H396" s="113"/>
    </row>
    <row r="397">
      <c r="A397" s="113"/>
      <c r="B397" s="113"/>
      <c r="C397" s="113"/>
      <c r="D397" s="113"/>
      <c r="E397" s="113"/>
      <c r="F397" s="113"/>
      <c r="G397" s="113"/>
      <c r="H397" s="113"/>
    </row>
    <row r="398">
      <c r="A398" s="113"/>
      <c r="B398" s="113"/>
      <c r="C398" s="113"/>
      <c r="D398" s="113"/>
      <c r="E398" s="113"/>
      <c r="F398" s="113"/>
      <c r="G398" s="113"/>
      <c r="H398" s="113"/>
    </row>
    <row r="399">
      <c r="A399" s="113"/>
      <c r="B399" s="113"/>
      <c r="C399" s="113"/>
      <c r="D399" s="113"/>
      <c r="E399" s="113"/>
      <c r="F399" s="113"/>
      <c r="G399" s="113"/>
      <c r="H399" s="113"/>
    </row>
    <row r="400">
      <c r="A400" s="113"/>
      <c r="B400" s="113"/>
      <c r="C400" s="113"/>
      <c r="D400" s="113"/>
      <c r="E400" s="113"/>
      <c r="F400" s="113"/>
      <c r="G400" s="113"/>
      <c r="H400" s="113"/>
    </row>
    <row r="401">
      <c r="A401" s="113"/>
      <c r="B401" s="113"/>
      <c r="C401" s="113"/>
      <c r="D401" s="113"/>
      <c r="E401" s="113"/>
      <c r="F401" s="113"/>
      <c r="G401" s="113"/>
      <c r="H401" s="113"/>
    </row>
    <row r="402">
      <c r="A402" s="113"/>
      <c r="B402" s="113"/>
      <c r="C402" s="113"/>
      <c r="D402" s="113"/>
      <c r="E402" s="113"/>
      <c r="F402" s="113"/>
      <c r="G402" s="113"/>
      <c r="H402" s="113"/>
    </row>
    <row r="403">
      <c r="A403" s="113"/>
      <c r="B403" s="113"/>
      <c r="C403" s="113"/>
      <c r="D403" s="113"/>
      <c r="E403" s="113"/>
      <c r="F403" s="113"/>
      <c r="G403" s="113"/>
      <c r="H403" s="113"/>
    </row>
    <row r="404">
      <c r="A404" s="113"/>
      <c r="B404" s="113"/>
      <c r="C404" s="113"/>
      <c r="D404" s="113"/>
      <c r="E404" s="113"/>
      <c r="F404" s="113"/>
      <c r="G404" s="113"/>
      <c r="H404" s="113"/>
    </row>
    <row r="405">
      <c r="A405" s="113"/>
      <c r="B405" s="113"/>
      <c r="C405" s="113"/>
      <c r="D405" s="113"/>
      <c r="E405" s="113"/>
      <c r="F405" s="113"/>
      <c r="G405" s="113"/>
      <c r="H405" s="113"/>
    </row>
    <row r="406">
      <c r="A406" s="113"/>
      <c r="B406" s="113"/>
      <c r="C406" s="113"/>
      <c r="D406" s="113"/>
      <c r="E406" s="113"/>
      <c r="F406" s="113"/>
      <c r="G406" s="113"/>
      <c r="H406" s="113"/>
    </row>
    <row r="407">
      <c r="A407" s="113"/>
      <c r="B407" s="113"/>
      <c r="C407" s="113"/>
      <c r="D407" s="113"/>
      <c r="E407" s="113"/>
      <c r="F407" s="113"/>
      <c r="G407" s="113"/>
      <c r="H407" s="113"/>
    </row>
    <row r="408">
      <c r="A408" s="113"/>
      <c r="B408" s="113"/>
      <c r="C408" s="113"/>
      <c r="D408" s="113"/>
      <c r="E408" s="113"/>
      <c r="F408" s="113"/>
      <c r="G408" s="113"/>
      <c r="H408" s="113"/>
    </row>
    <row r="409">
      <c r="A409" s="113"/>
      <c r="B409" s="113"/>
      <c r="C409" s="113"/>
      <c r="D409" s="113"/>
      <c r="E409" s="113"/>
      <c r="F409" s="113"/>
      <c r="G409" s="113"/>
      <c r="H409" s="113"/>
    </row>
    <row r="410">
      <c r="A410" s="113"/>
      <c r="B410" s="113"/>
      <c r="C410" s="113"/>
      <c r="D410" s="113"/>
      <c r="E410" s="113"/>
      <c r="F410" s="113"/>
      <c r="G410" s="113"/>
      <c r="H410" s="113"/>
    </row>
    <row r="411">
      <c r="A411" s="113"/>
      <c r="B411" s="113"/>
      <c r="C411" s="113"/>
      <c r="D411" s="113"/>
      <c r="E411" s="113"/>
      <c r="F411" s="113"/>
      <c r="G411" s="113"/>
      <c r="H411" s="113"/>
    </row>
    <row r="412">
      <c r="A412" s="113"/>
      <c r="B412" s="113"/>
      <c r="C412" s="113"/>
      <c r="D412" s="113"/>
      <c r="E412" s="113"/>
      <c r="F412" s="113"/>
      <c r="G412" s="113"/>
      <c r="H412" s="113"/>
    </row>
    <row r="413">
      <c r="A413" s="113"/>
      <c r="B413" s="113"/>
      <c r="C413" s="113"/>
      <c r="D413" s="113"/>
      <c r="E413" s="113"/>
      <c r="F413" s="113"/>
      <c r="G413" s="113"/>
      <c r="H413" s="113"/>
    </row>
    <row r="414">
      <c r="A414" s="113"/>
      <c r="B414" s="113"/>
      <c r="C414" s="113"/>
      <c r="D414" s="113"/>
      <c r="E414" s="113"/>
      <c r="F414" s="113"/>
      <c r="G414" s="113"/>
      <c r="H414" s="113"/>
    </row>
    <row r="415">
      <c r="A415" s="113"/>
      <c r="B415" s="113"/>
      <c r="C415" s="113"/>
      <c r="D415" s="113"/>
      <c r="E415" s="113"/>
      <c r="F415" s="113"/>
      <c r="G415" s="113"/>
      <c r="H415" s="113"/>
    </row>
    <row r="416">
      <c r="A416" s="113"/>
      <c r="B416" s="113"/>
      <c r="C416" s="113"/>
      <c r="D416" s="113"/>
      <c r="E416" s="113"/>
      <c r="F416" s="113"/>
      <c r="G416" s="113"/>
      <c r="H416" s="113"/>
    </row>
    <row r="417">
      <c r="A417" s="113"/>
      <c r="B417" s="113"/>
      <c r="C417" s="113"/>
      <c r="D417" s="113"/>
      <c r="E417" s="113"/>
      <c r="F417" s="113"/>
      <c r="G417" s="113"/>
      <c r="H417" s="113"/>
    </row>
    <row r="418">
      <c r="A418" s="113"/>
      <c r="B418" s="113"/>
      <c r="C418" s="113"/>
      <c r="D418" s="113"/>
      <c r="E418" s="113"/>
      <c r="F418" s="113"/>
      <c r="G418" s="113"/>
      <c r="H418" s="113"/>
    </row>
    <row r="419">
      <c r="A419" s="113"/>
      <c r="B419" s="113"/>
      <c r="C419" s="113"/>
      <c r="D419" s="113"/>
      <c r="E419" s="113"/>
      <c r="F419" s="113"/>
      <c r="G419" s="113"/>
      <c r="H419" s="113"/>
    </row>
    <row r="420">
      <c r="A420" s="113"/>
      <c r="B420" s="113"/>
      <c r="C420" s="113"/>
      <c r="D420" s="113"/>
      <c r="E420" s="113"/>
      <c r="F420" s="113"/>
      <c r="G420" s="113"/>
      <c r="H420" s="113"/>
    </row>
    <row r="421">
      <c r="A421" s="113"/>
      <c r="B421" s="113"/>
      <c r="C421" s="113"/>
      <c r="D421" s="113"/>
      <c r="E421" s="113"/>
      <c r="F421" s="113"/>
      <c r="G421" s="113"/>
      <c r="H421" s="113"/>
    </row>
    <row r="422">
      <c r="A422" s="113"/>
      <c r="B422" s="113"/>
      <c r="C422" s="113"/>
      <c r="D422" s="113"/>
      <c r="E422" s="113"/>
      <c r="F422" s="113"/>
      <c r="G422" s="113"/>
      <c r="H422" s="113"/>
    </row>
    <row r="423">
      <c r="A423" s="113"/>
      <c r="B423" s="113"/>
      <c r="C423" s="113"/>
      <c r="D423" s="113"/>
      <c r="E423" s="113"/>
      <c r="F423" s="113"/>
      <c r="G423" s="113"/>
      <c r="H423" s="113"/>
    </row>
    <row r="424">
      <c r="A424" s="113"/>
      <c r="B424" s="113"/>
      <c r="C424" s="113"/>
      <c r="D424" s="113"/>
      <c r="E424" s="113"/>
      <c r="F424" s="113"/>
      <c r="G424" s="113"/>
      <c r="H424" s="113"/>
    </row>
    <row r="425">
      <c r="A425" s="113"/>
      <c r="B425" s="113"/>
      <c r="C425" s="113"/>
      <c r="D425" s="113"/>
      <c r="E425" s="113"/>
      <c r="F425" s="113"/>
      <c r="G425" s="113"/>
      <c r="H425" s="113"/>
    </row>
    <row r="426">
      <c r="A426" s="113"/>
      <c r="B426" s="113"/>
      <c r="C426" s="113"/>
      <c r="D426" s="113"/>
      <c r="E426" s="113"/>
      <c r="F426" s="113"/>
      <c r="G426" s="113"/>
      <c r="H426" s="113"/>
    </row>
    <row r="427">
      <c r="A427" s="113"/>
      <c r="B427" s="113"/>
      <c r="C427" s="113"/>
      <c r="D427" s="113"/>
      <c r="E427" s="113"/>
      <c r="F427" s="113"/>
      <c r="G427" s="113"/>
      <c r="H427" s="113"/>
    </row>
    <row r="428">
      <c r="A428" s="113"/>
      <c r="B428" s="113"/>
      <c r="C428" s="113"/>
      <c r="D428" s="113"/>
      <c r="E428" s="113"/>
      <c r="F428" s="113"/>
      <c r="G428" s="113"/>
      <c r="H428" s="113"/>
    </row>
    <row r="429">
      <c r="A429" s="113"/>
      <c r="B429" s="113"/>
      <c r="C429" s="113"/>
      <c r="D429" s="113"/>
      <c r="E429" s="113"/>
      <c r="F429" s="113"/>
      <c r="G429" s="113"/>
      <c r="H429" s="113"/>
    </row>
    <row r="430">
      <c r="A430" s="113"/>
      <c r="B430" s="113"/>
      <c r="C430" s="113"/>
      <c r="D430" s="113"/>
      <c r="E430" s="113"/>
      <c r="F430" s="113"/>
      <c r="G430" s="113"/>
      <c r="H430" s="113"/>
    </row>
    <row r="431">
      <c r="A431" s="113"/>
      <c r="B431" s="113"/>
      <c r="C431" s="113"/>
      <c r="D431" s="113"/>
      <c r="E431" s="113"/>
      <c r="F431" s="113"/>
      <c r="G431" s="113"/>
      <c r="H431" s="113"/>
    </row>
    <row r="432">
      <c r="A432" s="113"/>
      <c r="B432" s="113"/>
      <c r="C432" s="113"/>
      <c r="D432" s="113"/>
      <c r="E432" s="113"/>
      <c r="F432" s="113"/>
      <c r="G432" s="113"/>
      <c r="H432" s="113"/>
    </row>
    <row r="433">
      <c r="A433" s="113"/>
      <c r="B433" s="113"/>
      <c r="C433" s="113"/>
      <c r="D433" s="113"/>
      <c r="E433" s="113"/>
      <c r="F433" s="113"/>
      <c r="G433" s="113"/>
      <c r="H433" s="113"/>
    </row>
    <row r="434">
      <c r="A434" s="113"/>
      <c r="B434" s="113"/>
      <c r="C434" s="113"/>
      <c r="D434" s="113"/>
      <c r="E434" s="113"/>
      <c r="F434" s="113"/>
      <c r="G434" s="113"/>
      <c r="H434" s="113"/>
    </row>
    <row r="435">
      <c r="A435" s="113"/>
      <c r="B435" s="113"/>
      <c r="C435" s="113"/>
      <c r="D435" s="113"/>
      <c r="E435" s="113"/>
      <c r="F435" s="113"/>
      <c r="G435" s="113"/>
      <c r="H435" s="113"/>
    </row>
    <row r="436">
      <c r="A436" s="113"/>
      <c r="B436" s="113"/>
      <c r="C436" s="113"/>
      <c r="D436" s="113"/>
      <c r="E436" s="113"/>
      <c r="F436" s="113"/>
      <c r="G436" s="113"/>
      <c r="H436" s="113"/>
    </row>
    <row r="437">
      <c r="A437" s="113"/>
      <c r="B437" s="113"/>
      <c r="C437" s="113"/>
      <c r="D437" s="113"/>
      <c r="E437" s="113"/>
      <c r="F437" s="113"/>
      <c r="G437" s="113"/>
      <c r="H437" s="113"/>
    </row>
    <row r="438">
      <c r="A438" s="113"/>
      <c r="B438" s="113"/>
      <c r="C438" s="113"/>
      <c r="D438" s="113"/>
      <c r="E438" s="113"/>
      <c r="F438" s="113"/>
      <c r="G438" s="113"/>
      <c r="H438" s="113"/>
    </row>
    <row r="439">
      <c r="A439" s="113"/>
      <c r="B439" s="113"/>
      <c r="C439" s="113"/>
      <c r="D439" s="113"/>
      <c r="E439" s="113"/>
      <c r="F439" s="113"/>
      <c r="G439" s="113"/>
      <c r="H439" s="113"/>
    </row>
    <row r="440">
      <c r="A440" s="113"/>
      <c r="B440" s="113"/>
      <c r="C440" s="113"/>
      <c r="D440" s="113"/>
      <c r="E440" s="113"/>
      <c r="F440" s="113"/>
      <c r="G440" s="113"/>
      <c r="H440" s="113"/>
    </row>
    <row r="441">
      <c r="A441" s="113"/>
      <c r="B441" s="113"/>
      <c r="C441" s="113"/>
      <c r="D441" s="113"/>
      <c r="E441" s="113"/>
      <c r="F441" s="113"/>
      <c r="G441" s="113"/>
      <c r="H441" s="113"/>
    </row>
    <row r="442">
      <c r="A442" s="113"/>
      <c r="B442" s="113"/>
      <c r="C442" s="113"/>
      <c r="D442" s="113"/>
      <c r="E442" s="113"/>
      <c r="F442" s="113"/>
      <c r="G442" s="113"/>
      <c r="H442" s="113"/>
    </row>
    <row r="443">
      <c r="A443" s="113"/>
      <c r="B443" s="113"/>
      <c r="C443" s="113"/>
      <c r="D443" s="113"/>
      <c r="E443" s="113"/>
      <c r="F443" s="113"/>
      <c r="G443" s="113"/>
      <c r="H443" s="113"/>
    </row>
    <row r="444">
      <c r="A444" s="113"/>
      <c r="B444" s="113"/>
      <c r="C444" s="113"/>
      <c r="D444" s="113"/>
      <c r="E444" s="113"/>
      <c r="F444" s="113"/>
      <c r="G444" s="113"/>
      <c r="H444" s="113"/>
    </row>
    <row r="445">
      <c r="A445" s="113"/>
      <c r="B445" s="113"/>
      <c r="C445" s="113"/>
      <c r="D445" s="113"/>
      <c r="E445" s="113"/>
      <c r="F445" s="113"/>
      <c r="G445" s="113"/>
      <c r="H445" s="113"/>
    </row>
    <row r="446">
      <c r="A446" s="113"/>
      <c r="B446" s="113"/>
      <c r="C446" s="113"/>
      <c r="D446" s="113"/>
      <c r="E446" s="113"/>
      <c r="F446" s="113"/>
      <c r="G446" s="113"/>
      <c r="H446" s="113"/>
    </row>
    <row r="447">
      <c r="A447" s="113"/>
      <c r="B447" s="113"/>
      <c r="C447" s="113"/>
      <c r="D447" s="113"/>
      <c r="E447" s="113"/>
      <c r="F447" s="113"/>
      <c r="G447" s="113"/>
      <c r="H447" s="113"/>
    </row>
    <row r="448">
      <c r="A448" s="113"/>
      <c r="B448" s="113"/>
      <c r="C448" s="113"/>
      <c r="D448" s="113"/>
      <c r="E448" s="113"/>
      <c r="F448" s="113"/>
      <c r="G448" s="113"/>
      <c r="H448" s="113"/>
    </row>
    <row r="449">
      <c r="A449" s="113"/>
      <c r="B449" s="113"/>
      <c r="C449" s="113"/>
      <c r="D449" s="113"/>
      <c r="E449" s="113"/>
      <c r="F449" s="113"/>
      <c r="G449" s="113"/>
      <c r="H449" s="113"/>
    </row>
    <row r="450">
      <c r="A450" s="113"/>
      <c r="B450" s="113"/>
      <c r="C450" s="113"/>
      <c r="D450" s="113"/>
      <c r="E450" s="113"/>
      <c r="F450" s="113"/>
      <c r="G450" s="113"/>
      <c r="H450" s="113"/>
    </row>
    <row r="451">
      <c r="A451" s="113"/>
      <c r="B451" s="113"/>
      <c r="C451" s="113"/>
      <c r="D451" s="113"/>
      <c r="E451" s="113"/>
      <c r="F451" s="113"/>
      <c r="G451" s="113"/>
      <c r="H451" s="113"/>
    </row>
    <row r="452">
      <c r="A452" s="113"/>
      <c r="B452" s="113"/>
      <c r="C452" s="113"/>
      <c r="D452" s="113"/>
      <c r="E452" s="113"/>
      <c r="F452" s="113"/>
      <c r="G452" s="113"/>
      <c r="H452" s="113"/>
    </row>
    <row r="453">
      <c r="A453" s="113"/>
      <c r="B453" s="113"/>
      <c r="C453" s="113"/>
      <c r="D453" s="113"/>
      <c r="E453" s="113"/>
      <c r="F453" s="113"/>
      <c r="G453" s="113"/>
      <c r="H453" s="113"/>
    </row>
    <row r="454">
      <c r="A454" s="113"/>
      <c r="B454" s="113"/>
      <c r="C454" s="113"/>
      <c r="D454" s="113"/>
      <c r="E454" s="113"/>
      <c r="F454" s="113"/>
      <c r="G454" s="113"/>
      <c r="H454" s="113"/>
    </row>
    <row r="455">
      <c r="A455" s="113"/>
      <c r="B455" s="113"/>
      <c r="C455" s="113"/>
      <c r="D455" s="113"/>
      <c r="E455" s="113"/>
      <c r="F455" s="113"/>
      <c r="G455" s="113"/>
      <c r="H455" s="113"/>
    </row>
    <row r="456">
      <c r="A456" s="113"/>
      <c r="B456" s="113"/>
      <c r="C456" s="113"/>
      <c r="D456" s="113"/>
      <c r="E456" s="113"/>
      <c r="F456" s="113"/>
      <c r="G456" s="113"/>
      <c r="H456" s="113"/>
    </row>
    <row r="457">
      <c r="A457" s="113"/>
      <c r="B457" s="113"/>
      <c r="C457" s="113"/>
      <c r="D457" s="113"/>
      <c r="E457" s="113"/>
      <c r="F457" s="113"/>
      <c r="G457" s="113"/>
      <c r="H457" s="113"/>
    </row>
    <row r="458">
      <c r="A458" s="113"/>
      <c r="B458" s="113"/>
      <c r="C458" s="113"/>
      <c r="D458" s="113"/>
      <c r="E458" s="113"/>
      <c r="F458" s="113"/>
      <c r="G458" s="113"/>
      <c r="H458" s="113"/>
    </row>
    <row r="459">
      <c r="A459" s="113"/>
      <c r="B459" s="113"/>
      <c r="C459" s="113"/>
      <c r="D459" s="113"/>
      <c r="E459" s="113"/>
      <c r="F459" s="113"/>
      <c r="G459" s="113"/>
      <c r="H459" s="113"/>
    </row>
    <row r="460">
      <c r="A460" s="113"/>
      <c r="B460" s="113"/>
      <c r="C460" s="113"/>
      <c r="D460" s="113"/>
      <c r="E460" s="113"/>
      <c r="F460" s="113"/>
      <c r="G460" s="113"/>
      <c r="H460" s="113"/>
    </row>
    <row r="461">
      <c r="A461" s="113"/>
      <c r="B461" s="113"/>
      <c r="C461" s="113"/>
      <c r="D461" s="113"/>
      <c r="E461" s="113"/>
      <c r="F461" s="113"/>
      <c r="G461" s="113"/>
      <c r="H461" s="113"/>
    </row>
    <row r="462">
      <c r="A462" s="113"/>
      <c r="B462" s="113"/>
      <c r="C462" s="113"/>
      <c r="D462" s="113"/>
      <c r="E462" s="113"/>
      <c r="F462" s="113"/>
      <c r="G462" s="113"/>
      <c r="H462" s="113"/>
    </row>
    <row r="463">
      <c r="A463" s="113"/>
      <c r="B463" s="113"/>
      <c r="C463" s="113"/>
      <c r="D463" s="113"/>
      <c r="E463" s="113"/>
      <c r="F463" s="113"/>
      <c r="G463" s="113"/>
      <c r="H463" s="113"/>
    </row>
    <row r="464">
      <c r="A464" s="113"/>
      <c r="B464" s="113"/>
      <c r="C464" s="113"/>
      <c r="D464" s="113"/>
      <c r="E464" s="113"/>
      <c r="F464" s="113"/>
      <c r="G464" s="113"/>
      <c r="H464" s="113"/>
    </row>
    <row r="465">
      <c r="A465" s="113"/>
      <c r="B465" s="113"/>
      <c r="C465" s="113"/>
      <c r="D465" s="113"/>
      <c r="E465" s="113"/>
      <c r="F465" s="113"/>
      <c r="G465" s="113"/>
      <c r="H465" s="113"/>
    </row>
    <row r="466">
      <c r="A466" s="113"/>
      <c r="B466" s="113"/>
      <c r="C466" s="113"/>
      <c r="D466" s="113"/>
      <c r="E466" s="113"/>
      <c r="F466" s="113"/>
      <c r="G466" s="113"/>
      <c r="H466" s="113"/>
    </row>
    <row r="467">
      <c r="A467" s="113"/>
      <c r="B467" s="113"/>
      <c r="C467" s="113"/>
      <c r="D467" s="113"/>
      <c r="E467" s="113"/>
      <c r="F467" s="113"/>
      <c r="G467" s="113"/>
      <c r="H467" s="113"/>
    </row>
    <row r="468">
      <c r="A468" s="113"/>
      <c r="B468" s="113"/>
      <c r="C468" s="113"/>
      <c r="D468" s="113"/>
      <c r="E468" s="113"/>
      <c r="F468" s="113"/>
      <c r="G468" s="113"/>
      <c r="H468" s="113"/>
    </row>
    <row r="469">
      <c r="A469" s="113"/>
      <c r="B469" s="113"/>
      <c r="C469" s="113"/>
      <c r="D469" s="113"/>
      <c r="E469" s="113"/>
      <c r="F469" s="113"/>
      <c r="G469" s="113"/>
      <c r="H469" s="113"/>
    </row>
    <row r="470">
      <c r="A470" s="113"/>
      <c r="B470" s="113"/>
      <c r="C470" s="113"/>
      <c r="D470" s="113"/>
      <c r="E470" s="113"/>
      <c r="F470" s="113"/>
      <c r="G470" s="113"/>
      <c r="H470" s="113"/>
    </row>
    <row r="471">
      <c r="A471" s="113"/>
      <c r="B471" s="113"/>
      <c r="C471" s="113"/>
      <c r="D471" s="113"/>
      <c r="E471" s="113"/>
      <c r="F471" s="113"/>
      <c r="G471" s="113"/>
      <c r="H471" s="113"/>
    </row>
    <row r="472">
      <c r="A472" s="113"/>
      <c r="B472" s="113"/>
      <c r="C472" s="113"/>
      <c r="D472" s="113"/>
      <c r="E472" s="113"/>
      <c r="F472" s="113"/>
      <c r="G472" s="113"/>
      <c r="H472" s="113"/>
    </row>
    <row r="473">
      <c r="A473" s="113"/>
      <c r="B473" s="113"/>
      <c r="C473" s="113"/>
      <c r="D473" s="113"/>
      <c r="E473" s="113"/>
      <c r="F473" s="113"/>
      <c r="G473" s="113"/>
      <c r="H473" s="113"/>
    </row>
    <row r="474">
      <c r="A474" s="113"/>
      <c r="B474" s="113"/>
      <c r="C474" s="113"/>
      <c r="D474" s="113"/>
      <c r="E474" s="113"/>
      <c r="F474" s="113"/>
      <c r="G474" s="113"/>
      <c r="H474" s="113"/>
    </row>
    <row r="475">
      <c r="A475" s="113"/>
      <c r="B475" s="113"/>
      <c r="C475" s="113"/>
      <c r="D475" s="113"/>
      <c r="E475" s="113"/>
      <c r="F475" s="113"/>
      <c r="G475" s="113"/>
      <c r="H475" s="113"/>
    </row>
    <row r="476">
      <c r="A476" s="113"/>
      <c r="B476" s="113"/>
      <c r="C476" s="113"/>
      <c r="D476" s="113"/>
      <c r="E476" s="113"/>
      <c r="F476" s="113"/>
      <c r="G476" s="113"/>
      <c r="H476" s="113"/>
    </row>
    <row r="477">
      <c r="A477" s="113"/>
      <c r="B477" s="113"/>
      <c r="C477" s="113"/>
      <c r="D477" s="113"/>
      <c r="E477" s="113"/>
      <c r="F477" s="113"/>
      <c r="G477" s="113"/>
      <c r="H477" s="113"/>
    </row>
    <row r="478">
      <c r="A478" s="113"/>
      <c r="B478" s="113"/>
      <c r="C478" s="113"/>
      <c r="D478" s="113"/>
      <c r="E478" s="113"/>
      <c r="F478" s="113"/>
      <c r="G478" s="113"/>
      <c r="H478" s="113"/>
    </row>
    <row r="479">
      <c r="A479" s="113"/>
      <c r="B479" s="113"/>
      <c r="C479" s="113"/>
      <c r="D479" s="113"/>
      <c r="E479" s="113"/>
      <c r="F479" s="113"/>
      <c r="G479" s="113"/>
      <c r="H479" s="113"/>
    </row>
    <row r="480">
      <c r="A480" s="113"/>
      <c r="B480" s="113"/>
      <c r="C480" s="113"/>
      <c r="D480" s="113"/>
      <c r="E480" s="113"/>
      <c r="F480" s="113"/>
      <c r="G480" s="113"/>
      <c r="H480" s="113"/>
    </row>
    <row r="481">
      <c r="A481" s="113"/>
      <c r="B481" s="113"/>
      <c r="C481" s="113"/>
      <c r="D481" s="113"/>
      <c r="E481" s="113"/>
      <c r="F481" s="113"/>
      <c r="G481" s="113"/>
      <c r="H481" s="113"/>
    </row>
    <row r="482">
      <c r="A482" s="113"/>
      <c r="B482" s="113"/>
      <c r="C482" s="113"/>
      <c r="D482" s="113"/>
      <c r="E482" s="113"/>
      <c r="F482" s="113"/>
      <c r="G482" s="113"/>
      <c r="H482" s="113"/>
    </row>
    <row r="483">
      <c r="A483" s="113"/>
      <c r="B483" s="113"/>
      <c r="C483" s="113"/>
      <c r="D483" s="113"/>
      <c r="E483" s="113"/>
      <c r="F483" s="113"/>
      <c r="G483" s="113"/>
      <c r="H483" s="113"/>
    </row>
    <row r="484">
      <c r="A484" s="113"/>
      <c r="B484" s="113"/>
      <c r="C484" s="113"/>
      <c r="D484" s="113"/>
      <c r="E484" s="113"/>
      <c r="F484" s="113"/>
      <c r="G484" s="113"/>
      <c r="H484" s="113"/>
    </row>
    <row r="485">
      <c r="A485" s="113"/>
      <c r="B485" s="113"/>
      <c r="C485" s="113"/>
      <c r="D485" s="113"/>
      <c r="E485" s="113"/>
      <c r="F485" s="113"/>
      <c r="G485" s="113"/>
      <c r="H485" s="113"/>
    </row>
    <row r="486">
      <c r="A486" s="113"/>
      <c r="B486" s="113"/>
      <c r="C486" s="113"/>
      <c r="D486" s="113"/>
      <c r="E486" s="113"/>
      <c r="F486" s="113"/>
      <c r="G486" s="113"/>
      <c r="H486" s="113"/>
    </row>
    <row r="487">
      <c r="A487" s="113"/>
      <c r="B487" s="113"/>
      <c r="C487" s="113"/>
      <c r="D487" s="113"/>
      <c r="E487" s="113"/>
      <c r="F487" s="113"/>
      <c r="G487" s="113"/>
      <c r="H487" s="113"/>
    </row>
    <row r="488">
      <c r="A488" s="113"/>
      <c r="B488" s="113"/>
      <c r="C488" s="113"/>
      <c r="D488" s="113"/>
      <c r="E488" s="113"/>
      <c r="F488" s="113"/>
      <c r="G488" s="113"/>
      <c r="H488" s="113"/>
    </row>
    <row r="489">
      <c r="A489" s="113"/>
      <c r="B489" s="113"/>
      <c r="C489" s="113"/>
      <c r="D489" s="113"/>
      <c r="E489" s="113"/>
      <c r="F489" s="113"/>
      <c r="G489" s="113"/>
      <c r="H489" s="113"/>
    </row>
    <row r="490">
      <c r="A490" s="113"/>
      <c r="B490" s="113"/>
      <c r="C490" s="113"/>
      <c r="D490" s="113"/>
      <c r="E490" s="113"/>
      <c r="F490" s="113"/>
      <c r="G490" s="113"/>
      <c r="H490" s="113"/>
    </row>
    <row r="491">
      <c r="A491" s="113"/>
      <c r="B491" s="113"/>
      <c r="C491" s="113"/>
      <c r="D491" s="113"/>
      <c r="E491" s="113"/>
      <c r="F491" s="113"/>
      <c r="G491" s="113"/>
      <c r="H491" s="113"/>
    </row>
    <row r="492">
      <c r="A492" s="113"/>
      <c r="B492" s="113"/>
      <c r="C492" s="113"/>
      <c r="D492" s="113"/>
      <c r="E492" s="113"/>
      <c r="F492" s="113"/>
      <c r="G492" s="113"/>
      <c r="H492" s="113"/>
    </row>
    <row r="493">
      <c r="A493" s="113"/>
      <c r="B493" s="113"/>
      <c r="C493" s="113"/>
      <c r="D493" s="113"/>
      <c r="E493" s="113"/>
      <c r="F493" s="113"/>
      <c r="G493" s="113"/>
      <c r="H493" s="113"/>
    </row>
    <row r="494">
      <c r="A494" s="113"/>
      <c r="B494" s="113"/>
      <c r="C494" s="113"/>
      <c r="D494" s="113"/>
      <c r="E494" s="113"/>
      <c r="F494" s="113"/>
      <c r="G494" s="113"/>
      <c r="H494" s="113"/>
    </row>
    <row r="495">
      <c r="A495" s="113"/>
      <c r="B495" s="113"/>
      <c r="C495" s="113"/>
      <c r="D495" s="113"/>
      <c r="E495" s="113"/>
      <c r="F495" s="113"/>
      <c r="G495" s="113"/>
      <c r="H495" s="113"/>
    </row>
    <row r="496">
      <c r="A496" s="113"/>
      <c r="B496" s="113"/>
      <c r="C496" s="113"/>
      <c r="D496" s="113"/>
      <c r="E496" s="113"/>
      <c r="F496" s="113"/>
      <c r="G496" s="113"/>
      <c r="H496" s="113"/>
    </row>
    <row r="497">
      <c r="A497" s="113"/>
      <c r="B497" s="113"/>
      <c r="C497" s="113"/>
      <c r="D497" s="113"/>
      <c r="E497" s="113"/>
      <c r="F497" s="113"/>
      <c r="G497" s="113"/>
      <c r="H497" s="113"/>
    </row>
    <row r="498">
      <c r="A498" s="113"/>
      <c r="B498" s="113"/>
      <c r="C498" s="113"/>
      <c r="D498" s="113"/>
      <c r="E498" s="113"/>
      <c r="F498" s="113"/>
      <c r="G498" s="113"/>
      <c r="H498" s="113"/>
    </row>
    <row r="499">
      <c r="A499" s="113"/>
      <c r="B499" s="113"/>
      <c r="C499" s="113"/>
      <c r="D499" s="113"/>
      <c r="E499" s="113"/>
      <c r="F499" s="113"/>
      <c r="G499" s="113"/>
      <c r="H499" s="113"/>
    </row>
    <row r="500">
      <c r="A500" s="113"/>
      <c r="B500" s="113"/>
      <c r="C500" s="113"/>
      <c r="D500" s="113"/>
      <c r="E500" s="113"/>
      <c r="F500" s="113"/>
      <c r="G500" s="113"/>
      <c r="H500" s="113"/>
    </row>
    <row r="501">
      <c r="A501" s="113"/>
      <c r="B501" s="113"/>
      <c r="C501" s="113"/>
      <c r="D501" s="113"/>
      <c r="E501" s="113"/>
      <c r="F501" s="113"/>
      <c r="G501" s="113"/>
      <c r="H501" s="113"/>
    </row>
    <row r="502">
      <c r="A502" s="113"/>
      <c r="B502" s="113"/>
      <c r="C502" s="113"/>
      <c r="D502" s="113"/>
      <c r="E502" s="113"/>
      <c r="F502" s="113"/>
      <c r="G502" s="113"/>
      <c r="H502" s="113"/>
    </row>
    <row r="503">
      <c r="A503" s="113"/>
      <c r="B503" s="113"/>
      <c r="C503" s="113"/>
      <c r="D503" s="113"/>
      <c r="E503" s="113"/>
      <c r="F503" s="113"/>
      <c r="G503" s="113"/>
      <c r="H503" s="113"/>
    </row>
    <row r="504">
      <c r="A504" s="113"/>
      <c r="B504" s="113"/>
      <c r="C504" s="113"/>
      <c r="D504" s="113"/>
      <c r="E504" s="113"/>
      <c r="F504" s="113"/>
      <c r="G504" s="113"/>
      <c r="H504" s="113"/>
    </row>
    <row r="505">
      <c r="A505" s="113"/>
      <c r="B505" s="113"/>
      <c r="C505" s="113"/>
      <c r="D505" s="113"/>
      <c r="E505" s="113"/>
      <c r="F505" s="113"/>
      <c r="G505" s="113"/>
      <c r="H505" s="113"/>
    </row>
    <row r="506">
      <c r="A506" s="113"/>
      <c r="B506" s="113"/>
      <c r="C506" s="113"/>
      <c r="D506" s="113"/>
      <c r="E506" s="113"/>
      <c r="F506" s="113"/>
      <c r="G506" s="113"/>
      <c r="H506" s="113"/>
    </row>
    <row r="507">
      <c r="A507" s="113"/>
      <c r="B507" s="113"/>
      <c r="C507" s="113"/>
      <c r="D507" s="113"/>
      <c r="E507" s="113"/>
      <c r="F507" s="113"/>
      <c r="G507" s="113"/>
      <c r="H507" s="113"/>
    </row>
    <row r="508">
      <c r="A508" s="113"/>
      <c r="B508" s="113"/>
      <c r="C508" s="113"/>
      <c r="D508" s="113"/>
      <c r="E508" s="113"/>
      <c r="F508" s="113"/>
      <c r="G508" s="113"/>
      <c r="H508" s="113"/>
    </row>
    <row r="509">
      <c r="A509" s="113"/>
      <c r="B509" s="113"/>
      <c r="C509" s="113"/>
      <c r="D509" s="113"/>
      <c r="E509" s="113"/>
      <c r="F509" s="113"/>
      <c r="G509" s="113"/>
      <c r="H509" s="113"/>
    </row>
    <row r="510">
      <c r="A510" s="113"/>
      <c r="B510" s="113"/>
      <c r="C510" s="113"/>
      <c r="D510" s="113"/>
      <c r="E510" s="113"/>
      <c r="F510" s="113"/>
      <c r="G510" s="113"/>
      <c r="H510" s="113"/>
    </row>
    <row r="511">
      <c r="A511" s="113"/>
      <c r="B511" s="113"/>
      <c r="C511" s="113"/>
      <c r="D511" s="113"/>
      <c r="E511" s="113"/>
      <c r="F511" s="113"/>
      <c r="G511" s="113"/>
      <c r="H511" s="113"/>
    </row>
    <row r="512">
      <c r="A512" s="113"/>
      <c r="B512" s="113"/>
      <c r="C512" s="113"/>
      <c r="D512" s="113"/>
      <c r="E512" s="113"/>
      <c r="F512" s="113"/>
      <c r="G512" s="113"/>
      <c r="H512" s="113"/>
    </row>
    <row r="513">
      <c r="A513" s="113"/>
      <c r="B513" s="113"/>
      <c r="C513" s="113"/>
      <c r="D513" s="113"/>
      <c r="E513" s="113"/>
      <c r="F513" s="113"/>
      <c r="G513" s="113"/>
      <c r="H513" s="113"/>
    </row>
    <row r="514">
      <c r="A514" s="113"/>
      <c r="B514" s="113"/>
      <c r="C514" s="113"/>
      <c r="D514" s="113"/>
      <c r="E514" s="113"/>
      <c r="F514" s="113"/>
      <c r="G514" s="113"/>
      <c r="H514" s="113"/>
    </row>
    <row r="515">
      <c r="A515" s="113"/>
      <c r="B515" s="113"/>
      <c r="C515" s="113"/>
      <c r="D515" s="113"/>
      <c r="E515" s="113"/>
      <c r="F515" s="113"/>
      <c r="G515" s="113"/>
      <c r="H515" s="113"/>
    </row>
    <row r="516">
      <c r="A516" s="113"/>
      <c r="B516" s="113"/>
      <c r="C516" s="113"/>
      <c r="D516" s="113"/>
      <c r="E516" s="113"/>
      <c r="F516" s="113"/>
      <c r="G516" s="113"/>
      <c r="H516" s="113"/>
    </row>
    <row r="517">
      <c r="A517" s="113"/>
      <c r="B517" s="113"/>
      <c r="C517" s="113"/>
      <c r="D517" s="113"/>
      <c r="E517" s="113"/>
      <c r="F517" s="113"/>
      <c r="G517" s="113"/>
      <c r="H517" s="113"/>
    </row>
    <row r="518">
      <c r="A518" s="113"/>
      <c r="B518" s="113"/>
      <c r="C518" s="113"/>
      <c r="D518" s="113"/>
      <c r="E518" s="113"/>
      <c r="F518" s="113"/>
      <c r="G518" s="113"/>
      <c r="H518" s="113"/>
    </row>
    <row r="519">
      <c r="A519" s="113"/>
      <c r="B519" s="113"/>
      <c r="C519" s="113"/>
      <c r="D519" s="113"/>
      <c r="E519" s="113"/>
      <c r="F519" s="113"/>
      <c r="G519" s="113"/>
      <c r="H519" s="113"/>
    </row>
    <row r="520">
      <c r="A520" s="113"/>
      <c r="B520" s="113"/>
      <c r="C520" s="113"/>
      <c r="D520" s="113"/>
      <c r="E520" s="113"/>
      <c r="F520" s="113"/>
      <c r="G520" s="113"/>
      <c r="H520" s="113"/>
    </row>
    <row r="521">
      <c r="A521" s="113"/>
      <c r="B521" s="113"/>
      <c r="C521" s="113"/>
      <c r="D521" s="113"/>
      <c r="E521" s="113"/>
      <c r="F521" s="113"/>
      <c r="G521" s="113"/>
      <c r="H521" s="113"/>
    </row>
    <row r="522">
      <c r="A522" s="113"/>
      <c r="B522" s="113"/>
      <c r="C522" s="113"/>
      <c r="D522" s="113"/>
      <c r="E522" s="113"/>
      <c r="F522" s="113"/>
      <c r="G522" s="113"/>
      <c r="H522" s="113"/>
    </row>
    <row r="523">
      <c r="A523" s="113"/>
      <c r="B523" s="113"/>
      <c r="C523" s="113"/>
      <c r="D523" s="113"/>
      <c r="E523" s="113"/>
      <c r="F523" s="113"/>
      <c r="G523" s="113"/>
      <c r="H523" s="113"/>
    </row>
    <row r="524">
      <c r="A524" s="113"/>
      <c r="B524" s="113"/>
      <c r="C524" s="113"/>
      <c r="D524" s="113"/>
      <c r="E524" s="113"/>
      <c r="F524" s="113"/>
      <c r="G524" s="113"/>
      <c r="H524" s="113"/>
    </row>
    <row r="525">
      <c r="A525" s="113"/>
      <c r="B525" s="113"/>
      <c r="C525" s="113"/>
      <c r="D525" s="113"/>
      <c r="E525" s="113"/>
      <c r="F525" s="113"/>
      <c r="G525" s="113"/>
      <c r="H525" s="113"/>
    </row>
    <row r="526">
      <c r="A526" s="113"/>
      <c r="B526" s="113"/>
      <c r="C526" s="113"/>
      <c r="D526" s="113"/>
      <c r="E526" s="113"/>
      <c r="F526" s="113"/>
      <c r="G526" s="113"/>
      <c r="H526" s="113"/>
    </row>
    <row r="527">
      <c r="A527" s="113"/>
      <c r="B527" s="113"/>
      <c r="C527" s="113"/>
      <c r="D527" s="113"/>
      <c r="E527" s="113"/>
      <c r="F527" s="113"/>
      <c r="G527" s="113"/>
      <c r="H527" s="113"/>
    </row>
    <row r="528">
      <c r="A528" s="113"/>
      <c r="B528" s="113"/>
      <c r="C528" s="113"/>
      <c r="D528" s="113"/>
      <c r="E528" s="113"/>
      <c r="F528" s="113"/>
      <c r="G528" s="113"/>
      <c r="H528" s="113"/>
    </row>
    <row r="529">
      <c r="A529" s="113"/>
      <c r="B529" s="113"/>
      <c r="C529" s="113"/>
      <c r="D529" s="113"/>
      <c r="E529" s="113"/>
      <c r="F529" s="113"/>
      <c r="G529" s="113"/>
      <c r="H529" s="113"/>
    </row>
    <row r="530">
      <c r="A530" s="113"/>
      <c r="B530" s="113"/>
      <c r="C530" s="113"/>
      <c r="D530" s="113"/>
      <c r="E530" s="113"/>
      <c r="F530" s="113"/>
      <c r="G530" s="113"/>
      <c r="H530" s="113"/>
    </row>
    <row r="531">
      <c r="A531" s="113"/>
      <c r="B531" s="113"/>
      <c r="C531" s="113"/>
      <c r="D531" s="113"/>
      <c r="E531" s="113"/>
      <c r="F531" s="113"/>
      <c r="G531" s="113"/>
      <c r="H531" s="113"/>
    </row>
    <row r="532">
      <c r="A532" s="113"/>
      <c r="B532" s="113"/>
      <c r="C532" s="113"/>
      <c r="D532" s="113"/>
      <c r="E532" s="113"/>
      <c r="F532" s="113"/>
      <c r="G532" s="113"/>
      <c r="H532" s="113"/>
    </row>
    <row r="533">
      <c r="A533" s="113"/>
      <c r="B533" s="113"/>
      <c r="C533" s="113"/>
      <c r="D533" s="113"/>
      <c r="E533" s="113"/>
      <c r="F533" s="113"/>
      <c r="G533" s="113"/>
      <c r="H533" s="113"/>
    </row>
    <row r="534">
      <c r="A534" s="113"/>
      <c r="B534" s="113"/>
      <c r="C534" s="113"/>
      <c r="D534" s="113"/>
      <c r="E534" s="113"/>
      <c r="F534" s="113"/>
      <c r="G534" s="113"/>
      <c r="H534" s="113"/>
    </row>
    <row r="535">
      <c r="A535" s="113"/>
      <c r="B535" s="113"/>
      <c r="C535" s="113"/>
      <c r="D535" s="113"/>
      <c r="E535" s="113"/>
      <c r="F535" s="113"/>
      <c r="G535" s="113"/>
      <c r="H535" s="113"/>
    </row>
    <row r="536">
      <c r="A536" s="113"/>
      <c r="B536" s="113"/>
      <c r="C536" s="113"/>
      <c r="D536" s="113"/>
      <c r="E536" s="113"/>
      <c r="F536" s="113"/>
      <c r="G536" s="113"/>
      <c r="H536" s="113"/>
    </row>
    <row r="537">
      <c r="A537" s="113"/>
      <c r="B537" s="113"/>
      <c r="C537" s="113"/>
      <c r="D537" s="113"/>
      <c r="E537" s="113"/>
      <c r="F537" s="113"/>
      <c r="G537" s="113"/>
      <c r="H537" s="113"/>
    </row>
    <row r="538">
      <c r="A538" s="113"/>
      <c r="B538" s="113"/>
      <c r="C538" s="113"/>
      <c r="D538" s="113"/>
      <c r="E538" s="113"/>
      <c r="F538" s="113"/>
      <c r="G538" s="113"/>
      <c r="H538" s="113"/>
    </row>
    <row r="539">
      <c r="A539" s="113"/>
      <c r="B539" s="113"/>
      <c r="C539" s="113"/>
      <c r="D539" s="113"/>
      <c r="E539" s="113"/>
      <c r="F539" s="113"/>
      <c r="G539" s="113"/>
      <c r="H539" s="113"/>
    </row>
    <row r="540">
      <c r="A540" s="113"/>
      <c r="B540" s="113"/>
      <c r="C540" s="113"/>
      <c r="D540" s="113"/>
      <c r="E540" s="113"/>
      <c r="F540" s="113"/>
      <c r="G540" s="113"/>
      <c r="H540" s="113"/>
    </row>
    <row r="541">
      <c r="A541" s="113"/>
      <c r="B541" s="113"/>
      <c r="C541" s="113"/>
      <c r="D541" s="113"/>
      <c r="E541" s="113"/>
      <c r="F541" s="113"/>
      <c r="G541" s="113"/>
      <c r="H541" s="113"/>
    </row>
    <row r="542">
      <c r="A542" s="113"/>
      <c r="B542" s="113"/>
      <c r="C542" s="113"/>
      <c r="D542" s="113"/>
      <c r="E542" s="113"/>
      <c r="F542" s="113"/>
      <c r="G542" s="113"/>
      <c r="H542" s="113"/>
    </row>
    <row r="543">
      <c r="A543" s="113"/>
      <c r="B543" s="113"/>
      <c r="C543" s="113"/>
      <c r="D543" s="113"/>
      <c r="E543" s="113"/>
      <c r="F543" s="113"/>
      <c r="G543" s="113"/>
      <c r="H543" s="113"/>
    </row>
    <row r="544">
      <c r="A544" s="113"/>
      <c r="B544" s="113"/>
      <c r="C544" s="113"/>
      <c r="D544" s="113"/>
      <c r="E544" s="113"/>
      <c r="F544" s="113"/>
      <c r="G544" s="113"/>
      <c r="H544" s="113"/>
    </row>
    <row r="545">
      <c r="A545" s="113"/>
      <c r="B545" s="113"/>
      <c r="C545" s="113"/>
      <c r="D545" s="113"/>
      <c r="E545" s="113"/>
      <c r="F545" s="113"/>
      <c r="G545" s="113"/>
      <c r="H545" s="113"/>
    </row>
    <row r="546">
      <c r="A546" s="113"/>
      <c r="B546" s="113"/>
      <c r="C546" s="113"/>
      <c r="D546" s="113"/>
      <c r="E546" s="113"/>
      <c r="F546" s="113"/>
      <c r="G546" s="113"/>
      <c r="H546" s="113"/>
    </row>
    <row r="547">
      <c r="A547" s="113"/>
      <c r="B547" s="113"/>
      <c r="C547" s="113"/>
      <c r="D547" s="113"/>
      <c r="E547" s="113"/>
      <c r="F547" s="113"/>
      <c r="G547" s="113"/>
      <c r="H547" s="113"/>
    </row>
    <row r="548">
      <c r="A548" s="113"/>
      <c r="B548" s="113"/>
      <c r="C548" s="113"/>
      <c r="D548" s="113"/>
      <c r="E548" s="113"/>
      <c r="F548" s="113"/>
      <c r="G548" s="113"/>
      <c r="H548" s="113"/>
    </row>
    <row r="549">
      <c r="A549" s="113"/>
      <c r="B549" s="113"/>
      <c r="C549" s="113"/>
      <c r="D549" s="113"/>
      <c r="E549" s="113"/>
      <c r="F549" s="113"/>
      <c r="G549" s="113"/>
      <c r="H549" s="113"/>
    </row>
    <row r="550">
      <c r="A550" s="113"/>
      <c r="B550" s="113"/>
      <c r="C550" s="113"/>
      <c r="D550" s="113"/>
      <c r="E550" s="113"/>
      <c r="F550" s="113"/>
      <c r="G550" s="113"/>
      <c r="H550" s="113"/>
    </row>
    <row r="551">
      <c r="A551" s="113"/>
      <c r="B551" s="113"/>
      <c r="C551" s="113"/>
      <c r="D551" s="113"/>
      <c r="E551" s="113"/>
      <c r="F551" s="113"/>
      <c r="G551" s="113"/>
      <c r="H551" s="113"/>
    </row>
    <row r="552">
      <c r="A552" s="113"/>
      <c r="B552" s="113"/>
      <c r="C552" s="113"/>
      <c r="D552" s="113"/>
      <c r="E552" s="113"/>
      <c r="F552" s="113"/>
      <c r="G552" s="113"/>
      <c r="H552" s="113"/>
    </row>
    <row r="553">
      <c r="A553" s="113"/>
      <c r="B553" s="113"/>
      <c r="C553" s="113"/>
      <c r="D553" s="113"/>
      <c r="E553" s="113"/>
      <c r="F553" s="113"/>
      <c r="G553" s="113"/>
      <c r="H553" s="113"/>
    </row>
    <row r="554">
      <c r="A554" s="113"/>
      <c r="B554" s="113"/>
      <c r="C554" s="113"/>
      <c r="D554" s="113"/>
      <c r="E554" s="113"/>
      <c r="F554" s="113"/>
      <c r="G554" s="113"/>
      <c r="H554" s="113"/>
    </row>
    <row r="555">
      <c r="A555" s="113"/>
      <c r="B555" s="113"/>
      <c r="C555" s="113"/>
      <c r="D555" s="113"/>
      <c r="E555" s="113"/>
      <c r="F555" s="113"/>
      <c r="G555" s="113"/>
      <c r="H555" s="113"/>
    </row>
    <row r="556">
      <c r="A556" s="113"/>
      <c r="B556" s="113"/>
      <c r="C556" s="113"/>
      <c r="D556" s="113"/>
      <c r="E556" s="113"/>
      <c r="F556" s="113"/>
      <c r="G556" s="113"/>
      <c r="H556" s="113"/>
    </row>
    <row r="557">
      <c r="A557" s="113"/>
      <c r="B557" s="113"/>
      <c r="C557" s="113"/>
      <c r="D557" s="113"/>
      <c r="E557" s="113"/>
      <c r="F557" s="113"/>
      <c r="G557" s="113"/>
      <c r="H557" s="113"/>
    </row>
    <row r="558">
      <c r="A558" s="113"/>
      <c r="B558" s="113"/>
      <c r="C558" s="113"/>
      <c r="D558" s="113"/>
      <c r="E558" s="113"/>
      <c r="F558" s="113"/>
      <c r="G558" s="113"/>
      <c r="H558" s="113"/>
    </row>
    <row r="559">
      <c r="A559" s="113"/>
      <c r="B559" s="113"/>
      <c r="C559" s="113"/>
      <c r="D559" s="113"/>
      <c r="E559" s="113"/>
      <c r="F559" s="113"/>
      <c r="G559" s="113"/>
      <c r="H559" s="113"/>
    </row>
    <row r="560">
      <c r="A560" s="113"/>
      <c r="B560" s="113"/>
      <c r="C560" s="113"/>
      <c r="D560" s="113"/>
      <c r="E560" s="113"/>
      <c r="F560" s="113"/>
      <c r="G560" s="113"/>
      <c r="H560" s="113"/>
    </row>
    <row r="561">
      <c r="A561" s="113"/>
      <c r="B561" s="113"/>
      <c r="C561" s="113"/>
      <c r="D561" s="113"/>
      <c r="E561" s="113"/>
      <c r="F561" s="113"/>
      <c r="G561" s="113"/>
      <c r="H561" s="113"/>
    </row>
    <row r="562">
      <c r="A562" s="113"/>
      <c r="B562" s="113"/>
      <c r="C562" s="113"/>
      <c r="D562" s="113"/>
      <c r="E562" s="113"/>
      <c r="F562" s="113"/>
      <c r="G562" s="113"/>
      <c r="H562" s="113"/>
    </row>
    <row r="563">
      <c r="A563" s="113"/>
      <c r="B563" s="113"/>
      <c r="C563" s="113"/>
      <c r="D563" s="113"/>
      <c r="E563" s="113"/>
      <c r="F563" s="113"/>
      <c r="G563" s="113"/>
      <c r="H563" s="113"/>
    </row>
    <row r="564">
      <c r="A564" s="113"/>
      <c r="B564" s="113"/>
      <c r="C564" s="113"/>
      <c r="D564" s="113"/>
      <c r="E564" s="113"/>
      <c r="F564" s="113"/>
      <c r="G564" s="113"/>
      <c r="H564" s="113"/>
    </row>
    <row r="565">
      <c r="A565" s="113"/>
      <c r="B565" s="113"/>
      <c r="C565" s="113"/>
      <c r="D565" s="113"/>
      <c r="E565" s="113"/>
      <c r="F565" s="113"/>
      <c r="G565" s="113"/>
      <c r="H565" s="113"/>
    </row>
    <row r="566">
      <c r="A566" s="113"/>
      <c r="B566" s="113"/>
      <c r="C566" s="113"/>
      <c r="D566" s="113"/>
      <c r="E566" s="113"/>
      <c r="F566" s="113"/>
      <c r="G566" s="113"/>
      <c r="H566" s="113"/>
    </row>
    <row r="567">
      <c r="A567" s="113"/>
      <c r="B567" s="113"/>
      <c r="C567" s="113"/>
      <c r="D567" s="113"/>
      <c r="E567" s="113"/>
      <c r="F567" s="113"/>
      <c r="G567" s="113"/>
      <c r="H567" s="113"/>
    </row>
    <row r="568">
      <c r="A568" s="113"/>
      <c r="B568" s="113"/>
      <c r="C568" s="113"/>
      <c r="D568" s="113"/>
      <c r="E568" s="113"/>
      <c r="F568" s="113"/>
      <c r="G568" s="113"/>
      <c r="H568" s="113"/>
    </row>
    <row r="569">
      <c r="A569" s="113"/>
      <c r="B569" s="113"/>
      <c r="C569" s="113"/>
      <c r="D569" s="113"/>
      <c r="E569" s="113"/>
      <c r="F569" s="113"/>
      <c r="G569" s="113"/>
      <c r="H569" s="113"/>
    </row>
    <row r="570">
      <c r="A570" s="113"/>
      <c r="B570" s="113"/>
      <c r="C570" s="113"/>
      <c r="D570" s="113"/>
      <c r="E570" s="113"/>
      <c r="F570" s="113"/>
      <c r="G570" s="113"/>
      <c r="H570" s="113"/>
    </row>
    <row r="571">
      <c r="A571" s="113"/>
      <c r="B571" s="113"/>
      <c r="C571" s="113"/>
      <c r="D571" s="113"/>
      <c r="E571" s="113"/>
      <c r="F571" s="113"/>
      <c r="G571" s="113"/>
      <c r="H571" s="113"/>
    </row>
    <row r="572">
      <c r="A572" s="113"/>
      <c r="B572" s="113"/>
      <c r="C572" s="113"/>
      <c r="D572" s="113"/>
      <c r="E572" s="113"/>
      <c r="F572" s="113"/>
      <c r="G572" s="113"/>
      <c r="H572" s="113"/>
    </row>
    <row r="573">
      <c r="A573" s="113"/>
      <c r="B573" s="113"/>
      <c r="C573" s="113"/>
      <c r="D573" s="113"/>
      <c r="E573" s="113"/>
      <c r="F573" s="113"/>
      <c r="G573" s="113"/>
      <c r="H573" s="113"/>
    </row>
    <row r="574">
      <c r="A574" s="113"/>
      <c r="B574" s="113"/>
      <c r="C574" s="113"/>
      <c r="D574" s="113"/>
      <c r="E574" s="113"/>
      <c r="F574" s="113"/>
      <c r="G574" s="113"/>
      <c r="H574" s="113"/>
    </row>
    <row r="575">
      <c r="A575" s="113"/>
      <c r="B575" s="113"/>
      <c r="C575" s="113"/>
      <c r="D575" s="113"/>
      <c r="E575" s="113"/>
      <c r="F575" s="113"/>
      <c r="G575" s="113"/>
      <c r="H575" s="113"/>
    </row>
    <row r="576">
      <c r="A576" s="113"/>
      <c r="B576" s="113"/>
      <c r="C576" s="113"/>
      <c r="D576" s="113"/>
      <c r="E576" s="113"/>
      <c r="F576" s="113"/>
      <c r="G576" s="113"/>
      <c r="H576" s="113"/>
    </row>
    <row r="577">
      <c r="A577" s="113"/>
      <c r="B577" s="113"/>
      <c r="C577" s="113"/>
      <c r="D577" s="113"/>
      <c r="E577" s="113"/>
      <c r="F577" s="113"/>
      <c r="G577" s="113"/>
      <c r="H577" s="113"/>
    </row>
    <row r="578">
      <c r="A578" s="113"/>
      <c r="B578" s="113"/>
      <c r="C578" s="113"/>
      <c r="D578" s="113"/>
      <c r="E578" s="113"/>
      <c r="F578" s="113"/>
      <c r="G578" s="113"/>
      <c r="H578" s="113"/>
    </row>
    <row r="579">
      <c r="A579" s="113"/>
      <c r="B579" s="113"/>
      <c r="C579" s="113"/>
      <c r="D579" s="113"/>
      <c r="E579" s="113"/>
      <c r="F579" s="113"/>
      <c r="G579" s="113"/>
      <c r="H579" s="113"/>
    </row>
    <row r="580">
      <c r="A580" s="113"/>
      <c r="B580" s="113"/>
      <c r="C580" s="113"/>
      <c r="D580" s="113"/>
      <c r="E580" s="113"/>
      <c r="F580" s="113"/>
      <c r="G580" s="113"/>
      <c r="H580" s="113"/>
    </row>
    <row r="581">
      <c r="A581" s="113"/>
      <c r="B581" s="113"/>
      <c r="C581" s="113"/>
      <c r="D581" s="113"/>
      <c r="E581" s="113"/>
      <c r="F581" s="113"/>
      <c r="G581" s="113"/>
      <c r="H581" s="113"/>
    </row>
    <row r="582">
      <c r="A582" s="113"/>
      <c r="B582" s="113"/>
      <c r="C582" s="113"/>
      <c r="D582" s="113"/>
      <c r="E582" s="113"/>
      <c r="F582" s="113"/>
      <c r="G582" s="113"/>
      <c r="H582" s="113"/>
    </row>
    <row r="583">
      <c r="A583" s="113"/>
      <c r="B583" s="113"/>
      <c r="C583" s="113"/>
      <c r="D583" s="113"/>
      <c r="E583" s="113"/>
      <c r="F583" s="113"/>
      <c r="G583" s="113"/>
      <c r="H583" s="113"/>
    </row>
    <row r="584">
      <c r="A584" s="113"/>
      <c r="B584" s="113"/>
      <c r="C584" s="113"/>
      <c r="D584" s="113"/>
      <c r="E584" s="113"/>
      <c r="F584" s="113"/>
      <c r="G584" s="113"/>
      <c r="H584" s="113"/>
    </row>
    <row r="585">
      <c r="A585" s="113"/>
      <c r="B585" s="113"/>
      <c r="C585" s="113"/>
      <c r="D585" s="113"/>
      <c r="E585" s="113"/>
      <c r="F585" s="113"/>
      <c r="G585" s="113"/>
      <c r="H585" s="113"/>
    </row>
    <row r="586">
      <c r="A586" s="113"/>
      <c r="B586" s="113"/>
      <c r="C586" s="113"/>
      <c r="D586" s="113"/>
      <c r="E586" s="113"/>
      <c r="F586" s="113"/>
      <c r="G586" s="113"/>
      <c r="H586" s="113"/>
    </row>
    <row r="587">
      <c r="A587" s="113"/>
      <c r="B587" s="113"/>
      <c r="C587" s="113"/>
      <c r="D587" s="113"/>
      <c r="E587" s="113"/>
      <c r="F587" s="113"/>
      <c r="G587" s="113"/>
      <c r="H587" s="113"/>
    </row>
    <row r="588">
      <c r="A588" s="113"/>
      <c r="B588" s="113"/>
      <c r="C588" s="113"/>
      <c r="D588" s="113"/>
      <c r="E588" s="113"/>
      <c r="F588" s="113"/>
      <c r="G588" s="113"/>
      <c r="H588" s="113"/>
    </row>
    <row r="589">
      <c r="A589" s="113"/>
      <c r="B589" s="113"/>
      <c r="C589" s="113"/>
      <c r="D589" s="113"/>
      <c r="E589" s="113"/>
      <c r="F589" s="113"/>
      <c r="G589" s="113"/>
      <c r="H589" s="113"/>
    </row>
    <row r="590">
      <c r="A590" s="113"/>
      <c r="B590" s="113"/>
      <c r="C590" s="113"/>
      <c r="D590" s="113"/>
      <c r="E590" s="113"/>
      <c r="F590" s="113"/>
      <c r="G590" s="113"/>
      <c r="H590" s="113"/>
    </row>
    <row r="591">
      <c r="A591" s="113"/>
      <c r="B591" s="113"/>
      <c r="C591" s="113"/>
      <c r="D591" s="113"/>
      <c r="E591" s="113"/>
      <c r="F591" s="113"/>
      <c r="G591" s="113"/>
      <c r="H591" s="113"/>
    </row>
    <row r="592">
      <c r="A592" s="113"/>
      <c r="B592" s="113"/>
      <c r="C592" s="113"/>
      <c r="D592" s="113"/>
      <c r="E592" s="113"/>
      <c r="F592" s="113"/>
      <c r="G592" s="113"/>
      <c r="H592" s="113"/>
    </row>
    <row r="593">
      <c r="A593" s="113"/>
      <c r="B593" s="113"/>
      <c r="C593" s="113"/>
      <c r="D593" s="113"/>
      <c r="E593" s="113"/>
      <c r="F593" s="113"/>
      <c r="G593" s="113"/>
      <c r="H593" s="113"/>
    </row>
    <row r="594">
      <c r="A594" s="113"/>
      <c r="B594" s="113"/>
      <c r="C594" s="113"/>
      <c r="D594" s="113"/>
      <c r="E594" s="113"/>
      <c r="F594" s="113"/>
      <c r="G594" s="113"/>
      <c r="H594" s="113"/>
    </row>
    <row r="595">
      <c r="A595" s="113"/>
      <c r="B595" s="113"/>
      <c r="C595" s="113"/>
      <c r="D595" s="113"/>
      <c r="E595" s="113"/>
      <c r="F595" s="113"/>
      <c r="G595" s="113"/>
      <c r="H595" s="113"/>
    </row>
    <row r="596">
      <c r="A596" s="113"/>
      <c r="B596" s="113"/>
      <c r="C596" s="113"/>
      <c r="D596" s="113"/>
      <c r="E596" s="113"/>
      <c r="F596" s="113"/>
      <c r="G596" s="113"/>
      <c r="H596" s="113"/>
    </row>
    <row r="597">
      <c r="A597" s="113"/>
      <c r="B597" s="113"/>
      <c r="C597" s="113"/>
      <c r="D597" s="113"/>
      <c r="E597" s="113"/>
      <c r="F597" s="113"/>
      <c r="G597" s="113"/>
      <c r="H597" s="113"/>
    </row>
    <row r="598">
      <c r="A598" s="113"/>
      <c r="B598" s="113"/>
      <c r="C598" s="113"/>
      <c r="D598" s="113"/>
      <c r="E598" s="113"/>
      <c r="F598" s="113"/>
      <c r="G598" s="113"/>
      <c r="H598" s="113"/>
    </row>
    <row r="599">
      <c r="A599" s="113"/>
      <c r="B599" s="113"/>
      <c r="C599" s="113"/>
      <c r="D599" s="113"/>
      <c r="E599" s="113"/>
      <c r="F599" s="113"/>
      <c r="G599" s="113"/>
      <c r="H599" s="113"/>
    </row>
    <row r="600">
      <c r="A600" s="113"/>
      <c r="B600" s="113"/>
      <c r="C600" s="113"/>
      <c r="D600" s="113"/>
      <c r="E600" s="113"/>
      <c r="F600" s="113"/>
      <c r="G600" s="113"/>
      <c r="H600" s="113"/>
    </row>
    <row r="601">
      <c r="A601" s="113"/>
      <c r="B601" s="113"/>
      <c r="C601" s="113"/>
      <c r="D601" s="113"/>
      <c r="E601" s="113"/>
      <c r="F601" s="113"/>
      <c r="G601" s="113"/>
      <c r="H601" s="113"/>
    </row>
    <row r="602">
      <c r="A602" s="113"/>
      <c r="B602" s="113"/>
      <c r="C602" s="113"/>
      <c r="D602" s="113"/>
      <c r="E602" s="113"/>
      <c r="F602" s="113"/>
      <c r="G602" s="113"/>
      <c r="H602" s="113"/>
    </row>
    <row r="603">
      <c r="A603" s="113"/>
      <c r="B603" s="113"/>
      <c r="C603" s="113"/>
      <c r="D603" s="113"/>
      <c r="E603" s="113"/>
      <c r="F603" s="113"/>
      <c r="G603" s="113"/>
      <c r="H603" s="113"/>
    </row>
    <row r="604">
      <c r="A604" s="113"/>
      <c r="B604" s="113"/>
      <c r="C604" s="113"/>
      <c r="D604" s="113"/>
      <c r="E604" s="113"/>
      <c r="F604" s="113"/>
      <c r="G604" s="113"/>
      <c r="H604" s="113"/>
    </row>
    <row r="605">
      <c r="A605" s="113"/>
      <c r="B605" s="113"/>
      <c r="C605" s="113"/>
      <c r="D605" s="113"/>
      <c r="E605" s="113"/>
      <c r="F605" s="113"/>
      <c r="G605" s="113"/>
      <c r="H605" s="113"/>
    </row>
    <row r="606">
      <c r="A606" s="113"/>
      <c r="B606" s="113"/>
      <c r="C606" s="113"/>
      <c r="D606" s="113"/>
      <c r="E606" s="113"/>
      <c r="F606" s="113"/>
      <c r="G606" s="113"/>
      <c r="H606" s="113"/>
    </row>
    <row r="607">
      <c r="A607" s="113"/>
      <c r="B607" s="113"/>
      <c r="C607" s="113"/>
      <c r="D607" s="113"/>
      <c r="E607" s="113"/>
      <c r="F607" s="113"/>
      <c r="G607" s="113"/>
      <c r="H607" s="113"/>
    </row>
    <row r="608">
      <c r="A608" s="113"/>
      <c r="B608" s="113"/>
      <c r="C608" s="113"/>
      <c r="D608" s="113"/>
      <c r="E608" s="113"/>
      <c r="F608" s="113"/>
      <c r="G608" s="113"/>
      <c r="H608" s="113"/>
    </row>
    <row r="609">
      <c r="A609" s="113"/>
      <c r="B609" s="113"/>
      <c r="C609" s="113"/>
      <c r="D609" s="113"/>
      <c r="E609" s="113"/>
      <c r="F609" s="113"/>
      <c r="G609" s="113"/>
      <c r="H609" s="113"/>
    </row>
    <row r="610">
      <c r="A610" s="113"/>
      <c r="B610" s="113"/>
      <c r="C610" s="113"/>
      <c r="D610" s="113"/>
      <c r="E610" s="113"/>
      <c r="F610" s="113"/>
      <c r="G610" s="113"/>
      <c r="H610" s="113"/>
    </row>
    <row r="611">
      <c r="A611" s="113"/>
      <c r="B611" s="113"/>
      <c r="C611" s="113"/>
      <c r="D611" s="113"/>
      <c r="E611" s="113"/>
      <c r="F611" s="113"/>
      <c r="G611" s="113"/>
      <c r="H611" s="113"/>
    </row>
    <row r="612">
      <c r="A612" s="113"/>
      <c r="B612" s="113"/>
      <c r="C612" s="113"/>
      <c r="D612" s="113"/>
      <c r="E612" s="113"/>
      <c r="F612" s="113"/>
      <c r="G612" s="113"/>
      <c r="H612" s="113"/>
    </row>
    <row r="613">
      <c r="A613" s="113"/>
      <c r="B613" s="113"/>
      <c r="C613" s="113"/>
      <c r="D613" s="113"/>
      <c r="E613" s="113"/>
      <c r="F613" s="113"/>
      <c r="G613" s="113"/>
      <c r="H613" s="113"/>
    </row>
    <row r="614">
      <c r="A614" s="113"/>
      <c r="B614" s="113"/>
      <c r="C614" s="113"/>
      <c r="D614" s="113"/>
      <c r="E614" s="113"/>
      <c r="F614" s="113"/>
      <c r="G614" s="113"/>
      <c r="H614" s="113"/>
    </row>
    <row r="615">
      <c r="A615" s="113"/>
      <c r="B615" s="113"/>
      <c r="C615" s="113"/>
      <c r="D615" s="113"/>
      <c r="E615" s="113"/>
      <c r="F615" s="113"/>
      <c r="G615" s="113"/>
      <c r="H615" s="113"/>
    </row>
    <row r="616">
      <c r="A616" s="113"/>
      <c r="B616" s="113"/>
      <c r="C616" s="113"/>
      <c r="D616" s="113"/>
      <c r="E616" s="113"/>
      <c r="F616" s="113"/>
      <c r="G616" s="113"/>
      <c r="H616" s="113"/>
    </row>
    <row r="617">
      <c r="A617" s="113"/>
      <c r="B617" s="113"/>
      <c r="C617" s="113"/>
      <c r="D617" s="113"/>
      <c r="E617" s="113"/>
      <c r="F617" s="113"/>
      <c r="G617" s="113"/>
      <c r="H617" s="113"/>
    </row>
    <row r="618">
      <c r="A618" s="113"/>
      <c r="B618" s="113"/>
      <c r="C618" s="113"/>
      <c r="D618" s="113"/>
      <c r="E618" s="113"/>
      <c r="F618" s="113"/>
      <c r="G618" s="113"/>
      <c r="H618" s="113"/>
    </row>
    <row r="619">
      <c r="A619" s="113"/>
      <c r="B619" s="113"/>
      <c r="C619" s="113"/>
      <c r="D619" s="113"/>
      <c r="E619" s="113"/>
      <c r="F619" s="113"/>
      <c r="G619" s="113"/>
      <c r="H619" s="113"/>
    </row>
    <row r="620">
      <c r="A620" s="113"/>
      <c r="B620" s="113"/>
      <c r="C620" s="113"/>
      <c r="D620" s="113"/>
      <c r="E620" s="113"/>
      <c r="F620" s="113"/>
      <c r="G620" s="113"/>
      <c r="H620" s="113"/>
    </row>
    <row r="621">
      <c r="A621" s="113"/>
      <c r="B621" s="113"/>
      <c r="C621" s="113"/>
      <c r="D621" s="113"/>
      <c r="E621" s="113"/>
      <c r="F621" s="113"/>
      <c r="G621" s="113"/>
      <c r="H621" s="113"/>
    </row>
    <row r="622">
      <c r="A622" s="113"/>
      <c r="B622" s="113"/>
      <c r="C622" s="113"/>
      <c r="D622" s="113"/>
      <c r="E622" s="113"/>
      <c r="F622" s="113"/>
      <c r="G622" s="113"/>
      <c r="H622" s="113"/>
    </row>
    <row r="623">
      <c r="A623" s="113"/>
      <c r="B623" s="113"/>
      <c r="C623" s="113"/>
      <c r="D623" s="113"/>
      <c r="E623" s="113"/>
      <c r="F623" s="113"/>
      <c r="G623" s="113"/>
      <c r="H623" s="113"/>
    </row>
    <row r="624">
      <c r="A624" s="113"/>
      <c r="B624" s="113"/>
      <c r="C624" s="113"/>
      <c r="D624" s="113"/>
      <c r="E624" s="113"/>
      <c r="F624" s="113"/>
      <c r="G624" s="113"/>
      <c r="H624" s="113"/>
    </row>
    <row r="625">
      <c r="A625" s="113"/>
      <c r="B625" s="113"/>
      <c r="C625" s="113"/>
      <c r="D625" s="113"/>
      <c r="E625" s="113"/>
      <c r="F625" s="113"/>
      <c r="G625" s="113"/>
      <c r="H625" s="113"/>
    </row>
    <row r="626">
      <c r="A626" s="113"/>
      <c r="B626" s="113"/>
      <c r="C626" s="113"/>
      <c r="D626" s="113"/>
      <c r="E626" s="113"/>
      <c r="F626" s="113"/>
      <c r="G626" s="113"/>
      <c r="H626" s="113"/>
    </row>
    <row r="627">
      <c r="A627" s="113"/>
      <c r="B627" s="113"/>
      <c r="C627" s="113"/>
      <c r="D627" s="113"/>
      <c r="E627" s="113"/>
      <c r="F627" s="113"/>
      <c r="G627" s="113"/>
      <c r="H627" s="113"/>
    </row>
    <row r="628">
      <c r="A628" s="113"/>
      <c r="B628" s="113"/>
      <c r="C628" s="113"/>
      <c r="D628" s="113"/>
      <c r="E628" s="113"/>
      <c r="F628" s="113"/>
      <c r="G628" s="113"/>
      <c r="H628" s="113"/>
    </row>
    <row r="629">
      <c r="A629" s="113"/>
      <c r="B629" s="113"/>
      <c r="C629" s="113"/>
      <c r="D629" s="113"/>
      <c r="E629" s="113"/>
      <c r="F629" s="113"/>
      <c r="G629" s="113"/>
      <c r="H629" s="113"/>
    </row>
    <row r="630">
      <c r="A630" s="113"/>
      <c r="B630" s="113"/>
      <c r="C630" s="113"/>
      <c r="D630" s="113"/>
      <c r="E630" s="113"/>
      <c r="F630" s="113"/>
      <c r="G630" s="113"/>
      <c r="H630" s="113"/>
    </row>
    <row r="631">
      <c r="A631" s="113"/>
      <c r="B631" s="113"/>
      <c r="C631" s="113"/>
      <c r="D631" s="113"/>
      <c r="E631" s="113"/>
      <c r="F631" s="113"/>
      <c r="G631" s="113"/>
      <c r="H631" s="113"/>
    </row>
    <row r="632">
      <c r="A632" s="113"/>
      <c r="B632" s="113"/>
      <c r="C632" s="113"/>
      <c r="D632" s="113"/>
      <c r="E632" s="113"/>
      <c r="F632" s="113"/>
      <c r="G632" s="113"/>
      <c r="H632" s="113"/>
    </row>
    <row r="633">
      <c r="A633" s="113"/>
      <c r="B633" s="113"/>
      <c r="C633" s="113"/>
      <c r="D633" s="113"/>
      <c r="E633" s="113"/>
      <c r="F633" s="113"/>
      <c r="G633" s="113"/>
      <c r="H633" s="113"/>
    </row>
    <row r="634">
      <c r="A634" s="113"/>
      <c r="B634" s="113"/>
      <c r="C634" s="113"/>
      <c r="D634" s="113"/>
      <c r="E634" s="113"/>
      <c r="F634" s="113"/>
      <c r="G634" s="113"/>
      <c r="H634" s="113"/>
    </row>
    <row r="635">
      <c r="A635" s="113"/>
      <c r="B635" s="113"/>
      <c r="C635" s="113"/>
      <c r="D635" s="113"/>
      <c r="E635" s="113"/>
      <c r="F635" s="113"/>
      <c r="G635" s="113"/>
      <c r="H635" s="113"/>
    </row>
    <row r="636">
      <c r="A636" s="113"/>
      <c r="B636" s="113"/>
      <c r="C636" s="113"/>
      <c r="D636" s="113"/>
      <c r="E636" s="113"/>
      <c r="F636" s="113"/>
      <c r="G636" s="113"/>
      <c r="H636" s="113"/>
    </row>
    <row r="637">
      <c r="A637" s="113"/>
      <c r="B637" s="113"/>
      <c r="C637" s="113"/>
      <c r="D637" s="113"/>
      <c r="E637" s="113"/>
      <c r="F637" s="113"/>
      <c r="G637" s="113"/>
      <c r="H637" s="113"/>
    </row>
    <row r="638">
      <c r="A638" s="113"/>
      <c r="B638" s="113"/>
      <c r="C638" s="113"/>
      <c r="D638" s="113"/>
      <c r="E638" s="113"/>
      <c r="F638" s="113"/>
      <c r="G638" s="113"/>
      <c r="H638" s="113"/>
    </row>
    <row r="639">
      <c r="A639" s="113"/>
      <c r="B639" s="113"/>
      <c r="C639" s="113"/>
      <c r="D639" s="113"/>
      <c r="E639" s="113"/>
      <c r="F639" s="113"/>
      <c r="G639" s="113"/>
      <c r="H639" s="113"/>
    </row>
    <row r="640">
      <c r="A640" s="113"/>
      <c r="B640" s="113"/>
      <c r="C640" s="113"/>
      <c r="D640" s="113"/>
      <c r="E640" s="113"/>
      <c r="F640" s="113"/>
      <c r="G640" s="113"/>
      <c r="H640" s="113"/>
    </row>
    <row r="641">
      <c r="A641" s="113"/>
      <c r="B641" s="113"/>
      <c r="C641" s="113"/>
      <c r="D641" s="113"/>
      <c r="E641" s="113"/>
      <c r="F641" s="113"/>
      <c r="G641" s="113"/>
      <c r="H641" s="113"/>
    </row>
    <row r="642">
      <c r="A642" s="113"/>
      <c r="B642" s="113"/>
      <c r="C642" s="113"/>
      <c r="D642" s="113"/>
      <c r="E642" s="113"/>
      <c r="F642" s="113"/>
      <c r="G642" s="113"/>
      <c r="H642" s="113"/>
    </row>
    <row r="643">
      <c r="A643" s="113"/>
      <c r="B643" s="113"/>
      <c r="C643" s="113"/>
      <c r="D643" s="113"/>
      <c r="E643" s="113"/>
      <c r="F643" s="113"/>
      <c r="G643" s="113"/>
      <c r="H643" s="113"/>
    </row>
    <row r="644">
      <c r="A644" s="113"/>
      <c r="B644" s="113"/>
      <c r="C644" s="113"/>
      <c r="D644" s="113"/>
      <c r="E644" s="113"/>
      <c r="F644" s="113"/>
      <c r="G644" s="113"/>
      <c r="H644" s="113"/>
    </row>
    <row r="645">
      <c r="A645" s="113"/>
      <c r="B645" s="113"/>
      <c r="C645" s="113"/>
      <c r="D645" s="113"/>
      <c r="E645" s="113"/>
      <c r="F645" s="113"/>
      <c r="G645" s="113"/>
      <c r="H645" s="113"/>
    </row>
    <row r="646">
      <c r="A646" s="113"/>
      <c r="B646" s="113"/>
      <c r="C646" s="113"/>
      <c r="D646" s="113"/>
      <c r="E646" s="113"/>
      <c r="F646" s="113"/>
      <c r="G646" s="113"/>
      <c r="H646" s="113"/>
    </row>
    <row r="647">
      <c r="A647" s="113"/>
      <c r="B647" s="113"/>
      <c r="C647" s="113"/>
      <c r="D647" s="113"/>
      <c r="E647" s="113"/>
      <c r="F647" s="113"/>
      <c r="G647" s="113"/>
      <c r="H647" s="113"/>
    </row>
    <row r="648">
      <c r="A648" s="113"/>
      <c r="B648" s="113"/>
      <c r="C648" s="113"/>
      <c r="D648" s="113"/>
      <c r="E648" s="113"/>
      <c r="F648" s="113"/>
      <c r="G648" s="113"/>
      <c r="H648" s="113"/>
    </row>
    <row r="649">
      <c r="A649" s="113"/>
      <c r="B649" s="113"/>
      <c r="C649" s="113"/>
      <c r="D649" s="113"/>
      <c r="E649" s="113"/>
      <c r="F649" s="113"/>
      <c r="G649" s="113"/>
      <c r="H649" s="113"/>
    </row>
    <row r="650">
      <c r="A650" s="113"/>
      <c r="B650" s="113"/>
      <c r="C650" s="113"/>
      <c r="D650" s="113"/>
      <c r="E650" s="113"/>
      <c r="F650" s="113"/>
      <c r="G650" s="113"/>
      <c r="H650" s="113"/>
    </row>
    <row r="651">
      <c r="A651" s="113"/>
      <c r="B651" s="113"/>
      <c r="C651" s="113"/>
      <c r="D651" s="113"/>
      <c r="E651" s="113"/>
      <c r="F651" s="113"/>
      <c r="G651" s="113"/>
      <c r="H651" s="113"/>
    </row>
    <row r="652">
      <c r="A652" s="113"/>
      <c r="B652" s="113"/>
      <c r="C652" s="113"/>
      <c r="D652" s="113"/>
      <c r="E652" s="113"/>
      <c r="F652" s="113"/>
      <c r="G652" s="113"/>
      <c r="H652" s="113"/>
    </row>
    <row r="653">
      <c r="A653" s="113"/>
      <c r="B653" s="113"/>
      <c r="C653" s="113"/>
      <c r="D653" s="113"/>
      <c r="E653" s="113"/>
      <c r="F653" s="113"/>
      <c r="G653" s="113"/>
      <c r="H653" s="113"/>
    </row>
    <row r="654">
      <c r="A654" s="113"/>
      <c r="B654" s="113"/>
      <c r="C654" s="113"/>
      <c r="D654" s="113"/>
      <c r="E654" s="113"/>
      <c r="F654" s="113"/>
      <c r="G654" s="113"/>
      <c r="H654" s="113"/>
    </row>
    <row r="655">
      <c r="A655" s="113"/>
      <c r="B655" s="113"/>
      <c r="C655" s="113"/>
      <c r="D655" s="113"/>
      <c r="E655" s="113"/>
      <c r="F655" s="113"/>
      <c r="G655" s="113"/>
      <c r="H655" s="113"/>
    </row>
    <row r="656">
      <c r="A656" s="113"/>
      <c r="B656" s="113"/>
      <c r="C656" s="113"/>
      <c r="D656" s="113"/>
      <c r="E656" s="113"/>
      <c r="F656" s="113"/>
      <c r="G656" s="113"/>
      <c r="H656" s="113"/>
    </row>
    <row r="657">
      <c r="A657" s="113"/>
      <c r="B657" s="113"/>
      <c r="C657" s="113"/>
      <c r="D657" s="113"/>
      <c r="E657" s="113"/>
      <c r="F657" s="113"/>
      <c r="G657" s="113"/>
      <c r="H657" s="113"/>
    </row>
    <row r="658">
      <c r="A658" s="113"/>
      <c r="B658" s="113"/>
      <c r="C658" s="113"/>
      <c r="D658" s="113"/>
      <c r="E658" s="113"/>
      <c r="F658" s="113"/>
      <c r="G658" s="113"/>
      <c r="H658" s="113"/>
    </row>
    <row r="659">
      <c r="A659" s="113"/>
      <c r="B659" s="113"/>
      <c r="C659" s="113"/>
      <c r="D659" s="113"/>
      <c r="E659" s="113"/>
      <c r="F659" s="113"/>
      <c r="G659" s="113"/>
      <c r="H659" s="113"/>
    </row>
    <row r="660">
      <c r="A660" s="113"/>
      <c r="B660" s="113"/>
      <c r="C660" s="113"/>
      <c r="D660" s="113"/>
      <c r="E660" s="113"/>
      <c r="F660" s="113"/>
      <c r="G660" s="113"/>
      <c r="H660" s="113"/>
    </row>
    <row r="661">
      <c r="A661" s="113"/>
      <c r="B661" s="113"/>
      <c r="C661" s="113"/>
      <c r="D661" s="113"/>
      <c r="E661" s="113"/>
      <c r="F661" s="113"/>
      <c r="G661" s="113"/>
      <c r="H661" s="113"/>
    </row>
    <row r="662">
      <c r="A662" s="113"/>
      <c r="B662" s="113"/>
      <c r="C662" s="113"/>
      <c r="D662" s="113"/>
      <c r="E662" s="113"/>
      <c r="F662" s="113"/>
      <c r="G662" s="113"/>
      <c r="H662" s="113"/>
    </row>
    <row r="663">
      <c r="A663" s="113"/>
      <c r="B663" s="113"/>
      <c r="C663" s="113"/>
      <c r="D663" s="113"/>
      <c r="E663" s="113"/>
      <c r="F663" s="113"/>
      <c r="G663" s="113"/>
      <c r="H663" s="113"/>
    </row>
    <row r="664">
      <c r="A664" s="113"/>
      <c r="B664" s="113"/>
      <c r="C664" s="113"/>
      <c r="D664" s="113"/>
      <c r="E664" s="113"/>
      <c r="F664" s="113"/>
      <c r="G664" s="113"/>
      <c r="H664" s="113"/>
    </row>
    <row r="665">
      <c r="A665" s="113"/>
      <c r="B665" s="113"/>
      <c r="C665" s="113"/>
      <c r="D665" s="113"/>
      <c r="E665" s="113"/>
      <c r="F665" s="113"/>
      <c r="G665" s="113"/>
      <c r="H665" s="113"/>
    </row>
    <row r="666">
      <c r="A666" s="113"/>
      <c r="B666" s="113"/>
      <c r="C666" s="113"/>
      <c r="D666" s="113"/>
      <c r="E666" s="113"/>
      <c r="F666" s="113"/>
      <c r="G666" s="113"/>
      <c r="H666" s="113"/>
    </row>
    <row r="667">
      <c r="A667" s="113"/>
      <c r="B667" s="113"/>
      <c r="C667" s="113"/>
      <c r="D667" s="113"/>
      <c r="E667" s="113"/>
      <c r="F667" s="113"/>
      <c r="G667" s="113"/>
      <c r="H667" s="113"/>
    </row>
    <row r="668">
      <c r="A668" s="113"/>
      <c r="B668" s="113"/>
      <c r="C668" s="113"/>
      <c r="D668" s="113"/>
      <c r="E668" s="113"/>
      <c r="F668" s="113"/>
      <c r="G668" s="113"/>
      <c r="H668" s="113"/>
    </row>
    <row r="669">
      <c r="A669" s="113"/>
      <c r="B669" s="113"/>
      <c r="C669" s="113"/>
      <c r="D669" s="113"/>
      <c r="E669" s="113"/>
      <c r="F669" s="113"/>
      <c r="G669" s="113"/>
      <c r="H669" s="113"/>
    </row>
    <row r="670">
      <c r="A670" s="113"/>
      <c r="B670" s="113"/>
      <c r="C670" s="113"/>
      <c r="D670" s="113"/>
      <c r="E670" s="113"/>
      <c r="F670" s="113"/>
      <c r="G670" s="113"/>
      <c r="H670" s="113"/>
    </row>
    <row r="671">
      <c r="A671" s="113"/>
      <c r="B671" s="113"/>
      <c r="C671" s="113"/>
      <c r="D671" s="113"/>
      <c r="E671" s="113"/>
      <c r="F671" s="113"/>
      <c r="G671" s="113"/>
      <c r="H671" s="113"/>
    </row>
    <row r="672">
      <c r="A672" s="113"/>
      <c r="B672" s="113"/>
      <c r="C672" s="113"/>
      <c r="D672" s="113"/>
      <c r="E672" s="113"/>
      <c r="F672" s="113"/>
      <c r="G672" s="113"/>
      <c r="H672" s="113"/>
    </row>
    <row r="673">
      <c r="A673" s="113"/>
      <c r="B673" s="113"/>
      <c r="C673" s="113"/>
      <c r="D673" s="113"/>
      <c r="E673" s="113"/>
      <c r="F673" s="113"/>
      <c r="G673" s="113"/>
      <c r="H673" s="113"/>
    </row>
    <row r="674">
      <c r="A674" s="113"/>
      <c r="B674" s="113"/>
      <c r="C674" s="113"/>
      <c r="D674" s="113"/>
      <c r="E674" s="113"/>
      <c r="F674" s="113"/>
      <c r="G674" s="113"/>
      <c r="H674" s="113"/>
    </row>
    <row r="675">
      <c r="A675" s="113"/>
      <c r="B675" s="113"/>
      <c r="C675" s="113"/>
      <c r="D675" s="113"/>
      <c r="E675" s="113"/>
      <c r="F675" s="113"/>
      <c r="G675" s="113"/>
      <c r="H675" s="113"/>
    </row>
    <row r="676">
      <c r="A676" s="113"/>
      <c r="B676" s="113"/>
      <c r="C676" s="113"/>
      <c r="D676" s="113"/>
      <c r="E676" s="113"/>
      <c r="F676" s="113"/>
      <c r="G676" s="113"/>
      <c r="H676" s="113"/>
    </row>
    <row r="677">
      <c r="A677" s="113"/>
      <c r="B677" s="113"/>
      <c r="C677" s="113"/>
      <c r="D677" s="113"/>
      <c r="E677" s="113"/>
      <c r="F677" s="113"/>
      <c r="G677" s="113"/>
      <c r="H677" s="113"/>
    </row>
    <row r="678">
      <c r="A678" s="113"/>
      <c r="B678" s="113"/>
      <c r="C678" s="113"/>
      <c r="D678" s="113"/>
      <c r="E678" s="113"/>
      <c r="F678" s="113"/>
      <c r="G678" s="113"/>
      <c r="H678" s="113"/>
    </row>
    <row r="679">
      <c r="A679" s="113"/>
      <c r="B679" s="113"/>
      <c r="C679" s="113"/>
      <c r="D679" s="113"/>
      <c r="E679" s="113"/>
      <c r="F679" s="113"/>
      <c r="G679" s="113"/>
      <c r="H679" s="113"/>
    </row>
    <row r="680">
      <c r="A680" s="113"/>
      <c r="B680" s="113"/>
      <c r="C680" s="113"/>
      <c r="D680" s="113"/>
      <c r="E680" s="113"/>
      <c r="F680" s="113"/>
      <c r="G680" s="113"/>
      <c r="H680" s="113"/>
    </row>
    <row r="681">
      <c r="A681" s="113"/>
      <c r="B681" s="113"/>
      <c r="C681" s="113"/>
      <c r="D681" s="113"/>
      <c r="E681" s="113"/>
      <c r="F681" s="113"/>
      <c r="G681" s="113"/>
      <c r="H681" s="113"/>
    </row>
    <row r="682">
      <c r="A682" s="113"/>
      <c r="B682" s="113"/>
      <c r="C682" s="113"/>
      <c r="D682" s="113"/>
      <c r="E682" s="113"/>
      <c r="F682" s="113"/>
      <c r="G682" s="113"/>
      <c r="H682" s="113"/>
    </row>
    <row r="683">
      <c r="A683" s="113"/>
      <c r="B683" s="113"/>
      <c r="C683" s="113"/>
      <c r="D683" s="113"/>
      <c r="E683" s="113"/>
      <c r="F683" s="113"/>
      <c r="G683" s="113"/>
      <c r="H683" s="113"/>
    </row>
    <row r="684">
      <c r="A684" s="113"/>
      <c r="B684" s="113"/>
      <c r="C684" s="113"/>
      <c r="D684" s="113"/>
      <c r="E684" s="113"/>
      <c r="F684" s="113"/>
      <c r="G684" s="113"/>
      <c r="H684" s="113"/>
    </row>
    <row r="685">
      <c r="A685" s="113"/>
      <c r="B685" s="113"/>
      <c r="C685" s="113"/>
      <c r="D685" s="113"/>
      <c r="E685" s="113"/>
      <c r="F685" s="113"/>
      <c r="G685" s="113"/>
      <c r="H685" s="113"/>
    </row>
    <row r="686">
      <c r="A686" s="113"/>
      <c r="B686" s="113"/>
      <c r="C686" s="113"/>
      <c r="D686" s="113"/>
      <c r="E686" s="113"/>
      <c r="F686" s="113"/>
      <c r="G686" s="113"/>
      <c r="H686" s="113"/>
    </row>
    <row r="687">
      <c r="A687" s="113"/>
      <c r="B687" s="113"/>
      <c r="C687" s="113"/>
      <c r="D687" s="113"/>
      <c r="E687" s="113"/>
      <c r="F687" s="113"/>
      <c r="G687" s="113"/>
      <c r="H687" s="113"/>
    </row>
    <row r="688">
      <c r="A688" s="113"/>
      <c r="B688" s="113"/>
      <c r="C688" s="113"/>
      <c r="D688" s="113"/>
      <c r="E688" s="113"/>
      <c r="F688" s="113"/>
      <c r="G688" s="113"/>
      <c r="H688" s="113"/>
    </row>
    <row r="689">
      <c r="A689" s="113"/>
      <c r="B689" s="113"/>
      <c r="C689" s="113"/>
      <c r="D689" s="113"/>
      <c r="E689" s="113"/>
      <c r="F689" s="113"/>
      <c r="G689" s="113"/>
      <c r="H689" s="113"/>
    </row>
    <row r="690">
      <c r="A690" s="113"/>
      <c r="B690" s="113"/>
      <c r="C690" s="113"/>
      <c r="D690" s="113"/>
      <c r="E690" s="113"/>
      <c r="F690" s="113"/>
      <c r="G690" s="113"/>
      <c r="H690" s="113"/>
    </row>
    <row r="691">
      <c r="A691" s="113"/>
      <c r="B691" s="113"/>
      <c r="C691" s="113"/>
      <c r="D691" s="113"/>
      <c r="E691" s="113"/>
      <c r="F691" s="113"/>
      <c r="G691" s="113"/>
      <c r="H691" s="113"/>
    </row>
    <row r="692">
      <c r="A692" s="113"/>
      <c r="B692" s="113"/>
      <c r="C692" s="113"/>
      <c r="D692" s="113"/>
      <c r="E692" s="113"/>
      <c r="F692" s="113"/>
      <c r="G692" s="113"/>
      <c r="H692" s="113"/>
    </row>
    <row r="693">
      <c r="A693" s="113"/>
      <c r="B693" s="113"/>
      <c r="C693" s="113"/>
      <c r="D693" s="113"/>
      <c r="E693" s="113"/>
      <c r="F693" s="113"/>
      <c r="G693" s="113"/>
      <c r="H693" s="113"/>
    </row>
    <row r="694">
      <c r="A694" s="113"/>
      <c r="B694" s="113"/>
      <c r="C694" s="113"/>
      <c r="D694" s="113"/>
      <c r="E694" s="113"/>
      <c r="F694" s="113"/>
      <c r="G694" s="113"/>
      <c r="H694" s="113"/>
    </row>
    <row r="695">
      <c r="A695" s="113"/>
      <c r="B695" s="113"/>
      <c r="C695" s="113"/>
      <c r="D695" s="113"/>
      <c r="E695" s="113"/>
      <c r="F695" s="113"/>
      <c r="G695" s="113"/>
      <c r="H695" s="113"/>
    </row>
    <row r="696">
      <c r="A696" s="113"/>
      <c r="B696" s="113"/>
      <c r="C696" s="113"/>
      <c r="D696" s="113"/>
      <c r="E696" s="113"/>
      <c r="F696" s="113"/>
      <c r="G696" s="113"/>
      <c r="H696" s="113"/>
    </row>
    <row r="697">
      <c r="A697" s="113"/>
      <c r="B697" s="113"/>
      <c r="C697" s="113"/>
      <c r="D697" s="113"/>
      <c r="E697" s="113"/>
      <c r="F697" s="113"/>
      <c r="G697" s="113"/>
      <c r="H697" s="113"/>
    </row>
    <row r="698">
      <c r="A698" s="113"/>
      <c r="B698" s="113"/>
      <c r="C698" s="113"/>
      <c r="D698" s="113"/>
      <c r="E698" s="113"/>
      <c r="F698" s="113"/>
      <c r="G698" s="113"/>
      <c r="H698" s="113"/>
    </row>
    <row r="699">
      <c r="A699" s="113"/>
      <c r="B699" s="113"/>
      <c r="C699" s="113"/>
      <c r="D699" s="113"/>
      <c r="E699" s="113"/>
      <c r="F699" s="113"/>
      <c r="G699" s="113"/>
      <c r="H699" s="113"/>
    </row>
    <row r="700">
      <c r="A700" s="113"/>
      <c r="B700" s="113"/>
      <c r="C700" s="113"/>
      <c r="D700" s="113"/>
      <c r="E700" s="113"/>
      <c r="F700" s="113"/>
      <c r="G700" s="113"/>
      <c r="H700" s="113"/>
    </row>
    <row r="701">
      <c r="A701" s="113"/>
      <c r="B701" s="113"/>
      <c r="C701" s="113"/>
      <c r="D701" s="113"/>
      <c r="E701" s="113"/>
      <c r="F701" s="113"/>
      <c r="G701" s="113"/>
      <c r="H701" s="113"/>
    </row>
    <row r="702">
      <c r="A702" s="113"/>
      <c r="B702" s="113"/>
      <c r="C702" s="113"/>
      <c r="D702" s="113"/>
      <c r="E702" s="113"/>
      <c r="F702" s="113"/>
      <c r="G702" s="113"/>
      <c r="H702" s="113"/>
    </row>
    <row r="703">
      <c r="A703" s="113"/>
      <c r="B703" s="113"/>
      <c r="C703" s="113"/>
      <c r="D703" s="113"/>
      <c r="E703" s="113"/>
      <c r="F703" s="113"/>
      <c r="G703" s="113"/>
      <c r="H703" s="113"/>
    </row>
    <row r="704">
      <c r="A704" s="113"/>
      <c r="B704" s="113"/>
      <c r="C704" s="113"/>
      <c r="D704" s="113"/>
      <c r="E704" s="113"/>
      <c r="F704" s="113"/>
      <c r="G704" s="113"/>
      <c r="H704" s="113"/>
    </row>
    <row r="705">
      <c r="A705" s="113"/>
      <c r="B705" s="113"/>
      <c r="C705" s="113"/>
      <c r="D705" s="113"/>
      <c r="E705" s="113"/>
      <c r="F705" s="113"/>
      <c r="G705" s="113"/>
      <c r="H705" s="113"/>
    </row>
    <row r="706">
      <c r="A706" s="113"/>
      <c r="B706" s="113"/>
      <c r="C706" s="113"/>
      <c r="D706" s="113"/>
      <c r="E706" s="113"/>
      <c r="F706" s="113"/>
      <c r="G706" s="113"/>
      <c r="H706" s="113"/>
    </row>
    <row r="707">
      <c r="A707" s="113"/>
      <c r="B707" s="113"/>
      <c r="C707" s="113"/>
      <c r="D707" s="113"/>
      <c r="E707" s="113"/>
      <c r="F707" s="113"/>
      <c r="G707" s="113"/>
      <c r="H707" s="113"/>
    </row>
    <row r="708">
      <c r="A708" s="113"/>
      <c r="B708" s="113"/>
      <c r="C708" s="113"/>
      <c r="D708" s="113"/>
      <c r="E708" s="113"/>
      <c r="F708" s="113"/>
      <c r="G708" s="113"/>
      <c r="H708" s="113"/>
    </row>
    <row r="709">
      <c r="A709" s="113"/>
      <c r="B709" s="113"/>
      <c r="C709" s="113"/>
      <c r="D709" s="113"/>
      <c r="E709" s="113"/>
      <c r="F709" s="113"/>
      <c r="G709" s="113"/>
      <c r="H709" s="113"/>
    </row>
    <row r="710">
      <c r="A710" s="113"/>
      <c r="B710" s="113"/>
      <c r="C710" s="113"/>
      <c r="D710" s="113"/>
      <c r="E710" s="113"/>
      <c r="F710" s="113"/>
      <c r="G710" s="113"/>
      <c r="H710" s="113"/>
    </row>
    <row r="711">
      <c r="A711" s="113"/>
      <c r="B711" s="113"/>
      <c r="C711" s="113"/>
      <c r="D711" s="113"/>
      <c r="E711" s="113"/>
      <c r="F711" s="113"/>
      <c r="G711" s="113"/>
      <c r="H711" s="113"/>
    </row>
    <row r="712">
      <c r="A712" s="113"/>
      <c r="B712" s="113"/>
      <c r="C712" s="113"/>
      <c r="D712" s="113"/>
      <c r="E712" s="113"/>
      <c r="F712" s="113"/>
      <c r="G712" s="113"/>
      <c r="H712" s="113"/>
    </row>
    <row r="713">
      <c r="A713" s="113"/>
      <c r="B713" s="113"/>
      <c r="C713" s="113"/>
      <c r="D713" s="113"/>
      <c r="E713" s="113"/>
      <c r="F713" s="113"/>
      <c r="G713" s="113"/>
      <c r="H713" s="113"/>
    </row>
    <row r="714">
      <c r="A714" s="113"/>
      <c r="B714" s="113"/>
      <c r="C714" s="113"/>
      <c r="D714" s="113"/>
      <c r="E714" s="113"/>
      <c r="F714" s="113"/>
      <c r="G714" s="113"/>
      <c r="H714" s="113"/>
    </row>
    <row r="715">
      <c r="A715" s="113"/>
      <c r="B715" s="113"/>
      <c r="C715" s="113"/>
      <c r="D715" s="113"/>
      <c r="E715" s="113"/>
      <c r="F715" s="113"/>
      <c r="G715" s="113"/>
      <c r="H715" s="113"/>
    </row>
    <row r="716">
      <c r="A716" s="113"/>
      <c r="B716" s="113"/>
      <c r="C716" s="113"/>
      <c r="D716" s="113"/>
      <c r="E716" s="113"/>
      <c r="F716" s="113"/>
      <c r="G716" s="113"/>
      <c r="H716" s="113"/>
    </row>
    <row r="717">
      <c r="A717" s="113"/>
      <c r="B717" s="113"/>
      <c r="C717" s="113"/>
      <c r="D717" s="113"/>
      <c r="E717" s="113"/>
      <c r="F717" s="113"/>
      <c r="G717" s="113"/>
      <c r="H717" s="113"/>
    </row>
    <row r="718">
      <c r="A718" s="113"/>
      <c r="B718" s="113"/>
      <c r="C718" s="113"/>
      <c r="D718" s="113"/>
      <c r="E718" s="113"/>
      <c r="F718" s="113"/>
      <c r="G718" s="113"/>
      <c r="H718" s="113"/>
    </row>
    <row r="719">
      <c r="A719" s="113"/>
      <c r="B719" s="113"/>
      <c r="C719" s="113"/>
      <c r="D719" s="113"/>
      <c r="E719" s="113"/>
      <c r="F719" s="113"/>
      <c r="G719" s="113"/>
      <c r="H719" s="113"/>
    </row>
    <row r="720">
      <c r="A720" s="113"/>
      <c r="B720" s="113"/>
      <c r="C720" s="113"/>
      <c r="D720" s="113"/>
      <c r="E720" s="113"/>
      <c r="F720" s="113"/>
      <c r="G720" s="113"/>
      <c r="H720" s="113"/>
    </row>
    <row r="721">
      <c r="A721" s="113"/>
      <c r="B721" s="113"/>
      <c r="C721" s="113"/>
      <c r="D721" s="113"/>
      <c r="E721" s="113"/>
      <c r="F721" s="113"/>
      <c r="G721" s="113"/>
      <c r="H721" s="113"/>
    </row>
    <row r="722">
      <c r="A722" s="113"/>
      <c r="B722" s="113"/>
      <c r="C722" s="113"/>
      <c r="D722" s="113"/>
      <c r="E722" s="113"/>
      <c r="F722" s="113"/>
      <c r="G722" s="113"/>
      <c r="H722" s="113"/>
    </row>
    <row r="723">
      <c r="A723" s="113"/>
      <c r="B723" s="113"/>
      <c r="C723" s="113"/>
      <c r="D723" s="113"/>
      <c r="E723" s="113"/>
      <c r="F723" s="113"/>
      <c r="G723" s="113"/>
      <c r="H723" s="113"/>
    </row>
    <row r="724">
      <c r="A724" s="113"/>
      <c r="B724" s="113"/>
      <c r="C724" s="113"/>
      <c r="D724" s="113"/>
      <c r="E724" s="113"/>
      <c r="F724" s="113"/>
      <c r="G724" s="113"/>
      <c r="H724" s="113"/>
    </row>
    <row r="725">
      <c r="A725" s="113"/>
      <c r="B725" s="113"/>
      <c r="C725" s="113"/>
      <c r="D725" s="113"/>
      <c r="E725" s="113"/>
      <c r="F725" s="113"/>
      <c r="G725" s="113"/>
      <c r="H725" s="113"/>
    </row>
    <row r="726">
      <c r="A726" s="113"/>
      <c r="B726" s="113"/>
      <c r="C726" s="113"/>
      <c r="D726" s="113"/>
      <c r="E726" s="113"/>
      <c r="F726" s="113"/>
      <c r="G726" s="113"/>
      <c r="H726" s="113"/>
    </row>
    <row r="727">
      <c r="A727" s="113"/>
      <c r="B727" s="113"/>
      <c r="C727" s="113"/>
      <c r="D727" s="113"/>
      <c r="E727" s="113"/>
      <c r="F727" s="113"/>
      <c r="G727" s="113"/>
      <c r="H727" s="113"/>
    </row>
    <row r="728">
      <c r="A728" s="113"/>
      <c r="B728" s="113"/>
      <c r="C728" s="113"/>
      <c r="D728" s="113"/>
      <c r="E728" s="113"/>
      <c r="F728" s="113"/>
      <c r="G728" s="113"/>
      <c r="H728" s="113"/>
    </row>
    <row r="729">
      <c r="A729" s="113"/>
      <c r="B729" s="113"/>
      <c r="C729" s="113"/>
      <c r="D729" s="113"/>
      <c r="E729" s="113"/>
      <c r="F729" s="113"/>
      <c r="G729" s="113"/>
      <c r="H729" s="113"/>
    </row>
    <row r="730">
      <c r="A730" s="113"/>
      <c r="B730" s="113"/>
      <c r="C730" s="113"/>
      <c r="D730" s="113"/>
      <c r="E730" s="113"/>
      <c r="F730" s="113"/>
      <c r="G730" s="113"/>
      <c r="H730" s="113"/>
    </row>
    <row r="731">
      <c r="A731" s="113"/>
      <c r="B731" s="113"/>
      <c r="C731" s="113"/>
      <c r="D731" s="113"/>
      <c r="E731" s="113"/>
      <c r="F731" s="113"/>
      <c r="G731" s="113"/>
      <c r="H731" s="113"/>
    </row>
    <row r="732">
      <c r="A732" s="113"/>
      <c r="B732" s="113"/>
      <c r="C732" s="113"/>
      <c r="D732" s="113"/>
      <c r="E732" s="113"/>
      <c r="F732" s="113"/>
      <c r="G732" s="113"/>
      <c r="H732" s="113"/>
    </row>
    <row r="733">
      <c r="A733" s="113"/>
      <c r="B733" s="113"/>
      <c r="C733" s="113"/>
      <c r="D733" s="113"/>
      <c r="E733" s="113"/>
      <c r="F733" s="113"/>
      <c r="G733" s="113"/>
      <c r="H733" s="113"/>
    </row>
    <row r="734">
      <c r="A734" s="113"/>
      <c r="B734" s="113"/>
      <c r="C734" s="113"/>
      <c r="D734" s="113"/>
      <c r="E734" s="113"/>
      <c r="F734" s="113"/>
      <c r="G734" s="113"/>
      <c r="H734" s="113"/>
    </row>
    <row r="735">
      <c r="A735" s="113"/>
      <c r="B735" s="113"/>
      <c r="C735" s="113"/>
      <c r="D735" s="113"/>
      <c r="E735" s="113"/>
      <c r="F735" s="113"/>
      <c r="G735" s="113"/>
      <c r="H735" s="113"/>
    </row>
    <row r="736">
      <c r="A736" s="113"/>
      <c r="B736" s="113"/>
      <c r="C736" s="113"/>
      <c r="D736" s="113"/>
      <c r="E736" s="113"/>
      <c r="F736" s="113"/>
      <c r="G736" s="113"/>
      <c r="H736" s="113"/>
    </row>
    <row r="737">
      <c r="A737" s="113"/>
      <c r="B737" s="113"/>
      <c r="C737" s="113"/>
      <c r="D737" s="113"/>
      <c r="E737" s="113"/>
      <c r="F737" s="113"/>
      <c r="G737" s="113"/>
      <c r="H737" s="113"/>
    </row>
    <row r="738">
      <c r="A738" s="113"/>
      <c r="B738" s="113"/>
      <c r="C738" s="113"/>
      <c r="D738" s="113"/>
      <c r="E738" s="113"/>
      <c r="F738" s="113"/>
      <c r="G738" s="113"/>
      <c r="H738" s="113"/>
    </row>
    <row r="739">
      <c r="A739" s="113"/>
      <c r="B739" s="113"/>
      <c r="C739" s="113"/>
      <c r="D739" s="113"/>
      <c r="E739" s="113"/>
      <c r="F739" s="113"/>
      <c r="G739" s="113"/>
      <c r="H739" s="113"/>
    </row>
    <row r="740">
      <c r="A740" s="113"/>
      <c r="B740" s="113"/>
      <c r="C740" s="113"/>
      <c r="D740" s="113"/>
      <c r="E740" s="113"/>
      <c r="F740" s="113"/>
      <c r="G740" s="113"/>
      <c r="H740" s="113"/>
    </row>
    <row r="741">
      <c r="A741" s="113"/>
      <c r="B741" s="113"/>
      <c r="C741" s="113"/>
      <c r="D741" s="113"/>
      <c r="E741" s="113"/>
      <c r="F741" s="113"/>
      <c r="G741" s="113"/>
      <c r="H741" s="113"/>
    </row>
    <row r="742">
      <c r="A742" s="113"/>
      <c r="B742" s="113"/>
      <c r="C742" s="113"/>
      <c r="D742" s="113"/>
      <c r="E742" s="113"/>
      <c r="F742" s="113"/>
      <c r="G742" s="113"/>
      <c r="H742" s="113"/>
    </row>
    <row r="743">
      <c r="A743" s="113"/>
      <c r="B743" s="113"/>
      <c r="C743" s="113"/>
      <c r="D743" s="113"/>
      <c r="E743" s="113"/>
      <c r="F743" s="113"/>
      <c r="G743" s="113"/>
      <c r="H743" s="113"/>
    </row>
    <row r="744">
      <c r="A744" s="113"/>
      <c r="B744" s="113"/>
      <c r="C744" s="113"/>
      <c r="D744" s="113"/>
      <c r="E744" s="113"/>
      <c r="F744" s="113"/>
      <c r="G744" s="113"/>
      <c r="H744" s="113"/>
    </row>
    <row r="745">
      <c r="A745" s="113"/>
      <c r="B745" s="113"/>
      <c r="C745" s="113"/>
      <c r="D745" s="113"/>
      <c r="E745" s="113"/>
      <c r="F745" s="113"/>
      <c r="G745" s="113"/>
      <c r="H745" s="113"/>
    </row>
    <row r="746">
      <c r="A746" s="113"/>
      <c r="B746" s="113"/>
      <c r="C746" s="113"/>
      <c r="D746" s="113"/>
      <c r="E746" s="113"/>
      <c r="F746" s="113"/>
      <c r="G746" s="113"/>
      <c r="H746" s="113"/>
    </row>
    <row r="747">
      <c r="A747" s="113"/>
      <c r="B747" s="113"/>
      <c r="C747" s="113"/>
      <c r="D747" s="113"/>
      <c r="E747" s="113"/>
      <c r="F747" s="113"/>
      <c r="G747" s="113"/>
      <c r="H747" s="113"/>
    </row>
    <row r="748">
      <c r="A748" s="113"/>
      <c r="B748" s="113"/>
      <c r="C748" s="113"/>
      <c r="D748" s="113"/>
      <c r="E748" s="113"/>
      <c r="F748" s="113"/>
      <c r="G748" s="113"/>
      <c r="H748" s="113"/>
    </row>
    <row r="749">
      <c r="A749" s="113"/>
      <c r="B749" s="113"/>
      <c r="C749" s="113"/>
      <c r="D749" s="113"/>
      <c r="E749" s="113"/>
      <c r="F749" s="113"/>
      <c r="G749" s="113"/>
      <c r="H749" s="113"/>
    </row>
    <row r="750">
      <c r="A750" s="113"/>
      <c r="B750" s="113"/>
      <c r="C750" s="113"/>
      <c r="D750" s="113"/>
      <c r="E750" s="113"/>
      <c r="F750" s="113"/>
      <c r="G750" s="113"/>
      <c r="H750" s="113"/>
    </row>
    <row r="751">
      <c r="A751" s="113"/>
      <c r="B751" s="113"/>
      <c r="C751" s="113"/>
      <c r="D751" s="113"/>
      <c r="E751" s="113"/>
      <c r="F751" s="113"/>
      <c r="G751" s="113"/>
      <c r="H751" s="113"/>
    </row>
    <row r="752">
      <c r="A752" s="113"/>
      <c r="B752" s="113"/>
      <c r="C752" s="113"/>
      <c r="D752" s="113"/>
      <c r="E752" s="113"/>
      <c r="F752" s="113"/>
      <c r="G752" s="113"/>
      <c r="H752" s="113"/>
    </row>
    <row r="753">
      <c r="A753" s="113"/>
      <c r="B753" s="113"/>
      <c r="C753" s="113"/>
      <c r="D753" s="113"/>
      <c r="E753" s="113"/>
      <c r="F753" s="113"/>
      <c r="G753" s="113"/>
      <c r="H753" s="113"/>
    </row>
    <row r="754">
      <c r="A754" s="113"/>
      <c r="B754" s="113"/>
      <c r="C754" s="113"/>
      <c r="D754" s="113"/>
      <c r="E754" s="113"/>
      <c r="F754" s="113"/>
      <c r="G754" s="113"/>
      <c r="H754" s="113"/>
    </row>
    <row r="755">
      <c r="A755" s="113"/>
      <c r="B755" s="113"/>
      <c r="C755" s="113"/>
      <c r="D755" s="113"/>
      <c r="E755" s="113"/>
      <c r="F755" s="113"/>
      <c r="G755" s="113"/>
      <c r="H755" s="113"/>
    </row>
    <row r="756">
      <c r="A756" s="113"/>
      <c r="B756" s="113"/>
      <c r="C756" s="113"/>
      <c r="D756" s="113"/>
      <c r="E756" s="113"/>
      <c r="F756" s="113"/>
      <c r="G756" s="113"/>
      <c r="H756" s="113"/>
    </row>
    <row r="757">
      <c r="A757" s="113"/>
      <c r="B757" s="113"/>
      <c r="C757" s="113"/>
      <c r="D757" s="113"/>
      <c r="E757" s="113"/>
      <c r="F757" s="113"/>
      <c r="G757" s="113"/>
      <c r="H757" s="113"/>
    </row>
    <row r="758">
      <c r="A758" s="113"/>
      <c r="B758" s="113"/>
      <c r="C758" s="113"/>
      <c r="D758" s="113"/>
      <c r="E758" s="113"/>
      <c r="F758" s="113"/>
      <c r="G758" s="113"/>
      <c r="H758" s="113"/>
    </row>
    <row r="759">
      <c r="A759" s="113"/>
      <c r="B759" s="113"/>
      <c r="C759" s="113"/>
      <c r="D759" s="113"/>
      <c r="E759" s="113"/>
      <c r="F759" s="113"/>
      <c r="G759" s="113"/>
      <c r="H759" s="113"/>
    </row>
    <row r="760">
      <c r="A760" s="113"/>
      <c r="B760" s="113"/>
      <c r="C760" s="113"/>
      <c r="D760" s="113"/>
      <c r="E760" s="113"/>
      <c r="F760" s="113"/>
      <c r="G760" s="113"/>
      <c r="H760" s="113"/>
    </row>
    <row r="761">
      <c r="A761" s="113"/>
      <c r="B761" s="113"/>
      <c r="C761" s="113"/>
      <c r="D761" s="113"/>
      <c r="E761" s="113"/>
      <c r="F761" s="113"/>
      <c r="G761" s="113"/>
      <c r="H761" s="113"/>
    </row>
    <row r="762">
      <c r="A762" s="113"/>
      <c r="B762" s="113"/>
      <c r="C762" s="113"/>
      <c r="D762" s="113"/>
      <c r="E762" s="113"/>
      <c r="F762" s="113"/>
      <c r="G762" s="113"/>
      <c r="H762" s="113"/>
    </row>
    <row r="763">
      <c r="A763" s="113"/>
      <c r="B763" s="113"/>
      <c r="C763" s="113"/>
      <c r="D763" s="113"/>
      <c r="E763" s="113"/>
      <c r="F763" s="113"/>
      <c r="G763" s="113"/>
      <c r="H763" s="113"/>
    </row>
    <row r="764">
      <c r="A764" s="113"/>
      <c r="B764" s="113"/>
      <c r="C764" s="113"/>
      <c r="D764" s="113"/>
      <c r="E764" s="113"/>
      <c r="F764" s="113"/>
      <c r="G764" s="113"/>
      <c r="H764" s="113"/>
    </row>
    <row r="765">
      <c r="A765" s="113"/>
      <c r="B765" s="113"/>
      <c r="C765" s="113"/>
      <c r="D765" s="113"/>
      <c r="E765" s="113"/>
      <c r="F765" s="113"/>
      <c r="G765" s="113"/>
      <c r="H765" s="113"/>
    </row>
    <row r="766">
      <c r="A766" s="113"/>
      <c r="B766" s="113"/>
      <c r="C766" s="113"/>
      <c r="D766" s="113"/>
      <c r="E766" s="113"/>
      <c r="F766" s="113"/>
      <c r="G766" s="113"/>
      <c r="H766" s="113"/>
    </row>
    <row r="767">
      <c r="A767" s="113"/>
      <c r="B767" s="113"/>
      <c r="C767" s="113"/>
      <c r="D767" s="113"/>
      <c r="E767" s="113"/>
      <c r="F767" s="113"/>
      <c r="G767" s="113"/>
      <c r="H767" s="113"/>
    </row>
    <row r="768">
      <c r="A768" s="113"/>
      <c r="B768" s="113"/>
      <c r="C768" s="113"/>
      <c r="D768" s="113"/>
      <c r="E768" s="113"/>
      <c r="F768" s="113"/>
      <c r="G768" s="113"/>
      <c r="H768" s="113"/>
    </row>
    <row r="769">
      <c r="A769" s="113"/>
      <c r="B769" s="113"/>
      <c r="C769" s="113"/>
      <c r="D769" s="113"/>
      <c r="E769" s="113"/>
      <c r="F769" s="113"/>
      <c r="G769" s="113"/>
      <c r="H769" s="113"/>
    </row>
    <row r="770">
      <c r="A770" s="113"/>
      <c r="B770" s="113"/>
      <c r="C770" s="113"/>
      <c r="D770" s="113"/>
      <c r="E770" s="113"/>
      <c r="F770" s="113"/>
      <c r="G770" s="113"/>
      <c r="H770" s="113"/>
    </row>
    <row r="771">
      <c r="A771" s="113"/>
      <c r="B771" s="113"/>
      <c r="C771" s="113"/>
      <c r="D771" s="113"/>
      <c r="E771" s="113"/>
      <c r="F771" s="113"/>
      <c r="G771" s="113"/>
      <c r="H771" s="113"/>
    </row>
    <row r="772">
      <c r="A772" s="113"/>
      <c r="B772" s="113"/>
      <c r="C772" s="113"/>
      <c r="D772" s="113"/>
      <c r="E772" s="113"/>
      <c r="F772" s="113"/>
      <c r="G772" s="113"/>
      <c r="H772" s="113"/>
    </row>
    <row r="773">
      <c r="A773" s="113"/>
      <c r="B773" s="113"/>
      <c r="C773" s="113"/>
      <c r="D773" s="113"/>
      <c r="E773" s="113"/>
      <c r="F773" s="113"/>
      <c r="G773" s="113"/>
      <c r="H773" s="113"/>
    </row>
    <row r="774">
      <c r="A774" s="113"/>
      <c r="B774" s="113"/>
      <c r="C774" s="113"/>
      <c r="D774" s="113"/>
      <c r="E774" s="113"/>
      <c r="F774" s="113"/>
      <c r="G774" s="113"/>
      <c r="H774" s="113"/>
    </row>
    <row r="775">
      <c r="A775" s="113"/>
      <c r="B775" s="113"/>
      <c r="C775" s="113"/>
      <c r="D775" s="113"/>
      <c r="E775" s="113"/>
      <c r="F775" s="113"/>
      <c r="G775" s="113"/>
      <c r="H775" s="113"/>
    </row>
    <row r="776">
      <c r="A776" s="113"/>
      <c r="B776" s="113"/>
      <c r="C776" s="113"/>
      <c r="D776" s="113"/>
      <c r="E776" s="113"/>
      <c r="F776" s="113"/>
      <c r="G776" s="113"/>
      <c r="H776" s="113"/>
    </row>
    <row r="777">
      <c r="A777" s="113"/>
      <c r="B777" s="113"/>
      <c r="C777" s="113"/>
      <c r="D777" s="113"/>
      <c r="E777" s="113"/>
      <c r="F777" s="113"/>
      <c r="G777" s="113"/>
      <c r="H777" s="113"/>
    </row>
    <row r="778">
      <c r="A778" s="113"/>
      <c r="B778" s="113"/>
      <c r="C778" s="113"/>
      <c r="D778" s="113"/>
      <c r="E778" s="113"/>
      <c r="F778" s="113"/>
      <c r="G778" s="113"/>
      <c r="H778" s="113"/>
    </row>
    <row r="779">
      <c r="A779" s="113"/>
      <c r="B779" s="113"/>
      <c r="C779" s="113"/>
      <c r="D779" s="113"/>
      <c r="E779" s="113"/>
      <c r="F779" s="113"/>
      <c r="G779" s="113"/>
      <c r="H779" s="113"/>
    </row>
    <row r="780">
      <c r="A780" s="113"/>
      <c r="B780" s="113"/>
      <c r="C780" s="113"/>
      <c r="D780" s="113"/>
      <c r="E780" s="113"/>
      <c r="F780" s="113"/>
      <c r="G780" s="113"/>
      <c r="H780" s="113"/>
    </row>
    <row r="781">
      <c r="A781" s="113"/>
      <c r="B781" s="113"/>
      <c r="C781" s="113"/>
      <c r="D781" s="113"/>
      <c r="E781" s="113"/>
      <c r="F781" s="113"/>
      <c r="G781" s="113"/>
      <c r="H781" s="113"/>
    </row>
    <row r="782">
      <c r="A782" s="113"/>
      <c r="B782" s="113"/>
      <c r="C782" s="113"/>
      <c r="D782" s="113"/>
      <c r="E782" s="113"/>
      <c r="F782" s="113"/>
      <c r="G782" s="113"/>
      <c r="H782" s="113"/>
    </row>
    <row r="783">
      <c r="A783" s="113"/>
      <c r="B783" s="113"/>
      <c r="C783" s="113"/>
      <c r="D783" s="113"/>
      <c r="E783" s="113"/>
      <c r="F783" s="113"/>
      <c r="G783" s="113"/>
      <c r="H783" s="113"/>
    </row>
    <row r="784">
      <c r="A784" s="113"/>
      <c r="B784" s="113"/>
      <c r="C784" s="113"/>
      <c r="D784" s="113"/>
      <c r="E784" s="113"/>
      <c r="F784" s="113"/>
      <c r="G784" s="113"/>
      <c r="H784" s="113"/>
    </row>
    <row r="785">
      <c r="A785" s="113"/>
      <c r="B785" s="113"/>
      <c r="C785" s="113"/>
      <c r="D785" s="113"/>
      <c r="E785" s="113"/>
      <c r="F785" s="113"/>
      <c r="G785" s="113"/>
      <c r="H785" s="113"/>
    </row>
    <row r="786">
      <c r="A786" s="113"/>
      <c r="B786" s="113"/>
      <c r="C786" s="113"/>
      <c r="D786" s="113"/>
      <c r="E786" s="113"/>
      <c r="F786" s="113"/>
      <c r="G786" s="113"/>
      <c r="H786" s="113"/>
    </row>
    <row r="787">
      <c r="A787" s="113"/>
      <c r="B787" s="113"/>
      <c r="C787" s="113"/>
      <c r="D787" s="113"/>
      <c r="E787" s="113"/>
      <c r="F787" s="113"/>
      <c r="G787" s="113"/>
      <c r="H787" s="113"/>
    </row>
    <row r="788">
      <c r="A788" s="113"/>
      <c r="B788" s="113"/>
      <c r="C788" s="113"/>
      <c r="D788" s="113"/>
      <c r="E788" s="113"/>
      <c r="F788" s="113"/>
      <c r="G788" s="113"/>
      <c r="H788" s="113"/>
    </row>
    <row r="789">
      <c r="A789" s="113"/>
      <c r="B789" s="113"/>
      <c r="C789" s="113"/>
      <c r="D789" s="113"/>
      <c r="E789" s="113"/>
      <c r="F789" s="113"/>
      <c r="G789" s="113"/>
      <c r="H789" s="113"/>
    </row>
    <row r="790">
      <c r="A790" s="113"/>
      <c r="B790" s="113"/>
      <c r="C790" s="113"/>
      <c r="D790" s="113"/>
      <c r="E790" s="113"/>
      <c r="F790" s="113"/>
      <c r="G790" s="113"/>
      <c r="H790" s="113"/>
    </row>
    <row r="791">
      <c r="A791" s="113"/>
      <c r="B791" s="113"/>
      <c r="C791" s="113"/>
      <c r="D791" s="113"/>
      <c r="E791" s="113"/>
      <c r="F791" s="113"/>
      <c r="G791" s="113"/>
      <c r="H791" s="113"/>
    </row>
    <row r="792">
      <c r="A792" s="113"/>
      <c r="B792" s="113"/>
      <c r="C792" s="113"/>
      <c r="D792" s="113"/>
      <c r="E792" s="113"/>
      <c r="F792" s="113"/>
      <c r="G792" s="113"/>
      <c r="H792" s="113"/>
    </row>
    <row r="793">
      <c r="A793" s="113"/>
      <c r="B793" s="113"/>
      <c r="C793" s="113"/>
      <c r="D793" s="113"/>
      <c r="E793" s="113"/>
      <c r="F793" s="113"/>
      <c r="G793" s="113"/>
      <c r="H793" s="113"/>
    </row>
    <row r="794">
      <c r="A794" s="113"/>
      <c r="B794" s="113"/>
      <c r="C794" s="113"/>
      <c r="D794" s="113"/>
      <c r="E794" s="113"/>
      <c r="F794" s="113"/>
      <c r="G794" s="113"/>
      <c r="H794" s="113"/>
    </row>
    <row r="795">
      <c r="A795" s="113"/>
      <c r="B795" s="113"/>
      <c r="C795" s="113"/>
      <c r="D795" s="113"/>
      <c r="E795" s="113"/>
      <c r="F795" s="113"/>
      <c r="G795" s="113"/>
      <c r="H795" s="113"/>
    </row>
    <row r="796">
      <c r="A796" s="113"/>
      <c r="B796" s="113"/>
      <c r="C796" s="113"/>
      <c r="D796" s="113"/>
      <c r="E796" s="113"/>
      <c r="F796" s="113"/>
      <c r="G796" s="113"/>
      <c r="H796" s="113"/>
    </row>
    <row r="797">
      <c r="A797" s="113"/>
      <c r="B797" s="113"/>
      <c r="C797" s="113"/>
      <c r="D797" s="113"/>
      <c r="E797" s="113"/>
      <c r="F797" s="113"/>
      <c r="G797" s="113"/>
      <c r="H797" s="113"/>
    </row>
    <row r="798">
      <c r="A798" s="113"/>
      <c r="B798" s="113"/>
      <c r="C798" s="113"/>
      <c r="D798" s="113"/>
      <c r="E798" s="113"/>
      <c r="F798" s="113"/>
      <c r="G798" s="113"/>
      <c r="H798" s="113"/>
    </row>
    <row r="799">
      <c r="A799" s="113"/>
      <c r="B799" s="113"/>
      <c r="C799" s="113"/>
      <c r="D799" s="113"/>
      <c r="E799" s="113"/>
      <c r="F799" s="113"/>
      <c r="G799" s="113"/>
      <c r="H799" s="113"/>
    </row>
    <row r="800">
      <c r="A800" s="113"/>
      <c r="B800" s="113"/>
      <c r="C800" s="113"/>
      <c r="D800" s="113"/>
      <c r="E800" s="113"/>
      <c r="F800" s="113"/>
      <c r="G800" s="113"/>
      <c r="H800" s="113"/>
    </row>
    <row r="801">
      <c r="A801" s="113"/>
      <c r="B801" s="113"/>
      <c r="C801" s="113"/>
      <c r="D801" s="113"/>
      <c r="E801" s="113"/>
      <c r="F801" s="113"/>
      <c r="G801" s="113"/>
      <c r="H801" s="113"/>
    </row>
    <row r="802">
      <c r="A802" s="113"/>
      <c r="B802" s="113"/>
      <c r="C802" s="113"/>
      <c r="D802" s="113"/>
      <c r="E802" s="113"/>
      <c r="F802" s="113"/>
      <c r="G802" s="113"/>
      <c r="H802" s="113"/>
    </row>
    <row r="803">
      <c r="A803" s="113"/>
      <c r="B803" s="113"/>
      <c r="C803" s="113"/>
      <c r="D803" s="113"/>
      <c r="E803" s="113"/>
      <c r="F803" s="113"/>
      <c r="G803" s="113"/>
      <c r="H803" s="113"/>
    </row>
    <row r="804">
      <c r="A804" s="113"/>
      <c r="B804" s="113"/>
      <c r="C804" s="113"/>
      <c r="D804" s="113"/>
      <c r="E804" s="113"/>
      <c r="F804" s="113"/>
      <c r="G804" s="113"/>
      <c r="H804" s="113"/>
    </row>
    <row r="805">
      <c r="A805" s="113"/>
      <c r="B805" s="113"/>
      <c r="C805" s="113"/>
      <c r="D805" s="113"/>
      <c r="E805" s="113"/>
      <c r="F805" s="113"/>
      <c r="G805" s="113"/>
      <c r="H805" s="113"/>
    </row>
    <row r="806">
      <c r="A806" s="113"/>
      <c r="B806" s="113"/>
      <c r="C806" s="113"/>
      <c r="D806" s="113"/>
      <c r="E806" s="113"/>
      <c r="F806" s="113"/>
      <c r="G806" s="113"/>
      <c r="H806" s="113"/>
    </row>
    <row r="807">
      <c r="A807" s="113"/>
      <c r="B807" s="113"/>
      <c r="C807" s="113"/>
      <c r="D807" s="113"/>
      <c r="E807" s="113"/>
      <c r="F807" s="113"/>
      <c r="G807" s="113"/>
      <c r="H807" s="113"/>
    </row>
    <row r="808">
      <c r="A808" s="113"/>
      <c r="B808" s="113"/>
      <c r="C808" s="113"/>
      <c r="D808" s="113"/>
      <c r="E808" s="113"/>
      <c r="F808" s="113"/>
      <c r="G808" s="113"/>
      <c r="H808" s="113"/>
    </row>
    <row r="809">
      <c r="A809" s="113"/>
      <c r="B809" s="113"/>
      <c r="C809" s="113"/>
      <c r="D809" s="113"/>
      <c r="E809" s="113"/>
      <c r="F809" s="113"/>
      <c r="G809" s="113"/>
      <c r="H809" s="113"/>
    </row>
    <row r="810">
      <c r="A810" s="113"/>
      <c r="B810" s="113"/>
      <c r="C810" s="113"/>
      <c r="D810" s="113"/>
      <c r="E810" s="113"/>
      <c r="F810" s="113"/>
      <c r="G810" s="113"/>
      <c r="H810" s="113"/>
    </row>
    <row r="811">
      <c r="A811" s="113"/>
      <c r="B811" s="113"/>
      <c r="C811" s="113"/>
      <c r="D811" s="113"/>
      <c r="E811" s="113"/>
      <c r="F811" s="113"/>
      <c r="G811" s="113"/>
      <c r="H811" s="113"/>
    </row>
    <row r="812">
      <c r="A812" s="113"/>
      <c r="B812" s="113"/>
      <c r="C812" s="113"/>
      <c r="D812" s="113"/>
      <c r="E812" s="113"/>
      <c r="F812" s="113"/>
      <c r="G812" s="113"/>
      <c r="H812" s="113"/>
    </row>
    <row r="813">
      <c r="A813" s="113"/>
      <c r="B813" s="113"/>
      <c r="C813" s="113"/>
      <c r="D813" s="113"/>
      <c r="E813" s="113"/>
      <c r="F813" s="113"/>
      <c r="G813" s="113"/>
      <c r="H813" s="113"/>
    </row>
    <row r="814">
      <c r="A814" s="113"/>
      <c r="B814" s="113"/>
      <c r="C814" s="113"/>
      <c r="D814" s="113"/>
      <c r="E814" s="113"/>
      <c r="F814" s="113"/>
      <c r="G814" s="113"/>
      <c r="H814" s="113"/>
    </row>
    <row r="815">
      <c r="A815" s="113"/>
      <c r="B815" s="113"/>
      <c r="C815" s="113"/>
      <c r="D815" s="113"/>
      <c r="E815" s="113"/>
      <c r="F815" s="113"/>
      <c r="G815" s="113"/>
      <c r="H815" s="113"/>
    </row>
    <row r="816">
      <c r="A816" s="113"/>
      <c r="B816" s="113"/>
      <c r="C816" s="113"/>
      <c r="D816" s="113"/>
      <c r="E816" s="113"/>
      <c r="F816" s="113"/>
      <c r="G816" s="113"/>
      <c r="H816" s="113"/>
    </row>
    <row r="817">
      <c r="A817" s="113"/>
      <c r="B817" s="113"/>
      <c r="C817" s="113"/>
      <c r="D817" s="113"/>
      <c r="E817" s="113"/>
      <c r="F817" s="113"/>
      <c r="G817" s="113"/>
      <c r="H817" s="113"/>
    </row>
    <row r="818">
      <c r="A818" s="113"/>
      <c r="B818" s="113"/>
      <c r="C818" s="113"/>
      <c r="D818" s="113"/>
      <c r="E818" s="113"/>
      <c r="F818" s="113"/>
      <c r="G818" s="113"/>
      <c r="H818" s="113"/>
    </row>
    <row r="819">
      <c r="A819" s="113"/>
      <c r="B819" s="113"/>
      <c r="C819" s="113"/>
      <c r="D819" s="113"/>
      <c r="E819" s="113"/>
      <c r="F819" s="113"/>
      <c r="G819" s="113"/>
      <c r="H819" s="113"/>
    </row>
    <row r="820">
      <c r="A820" s="113"/>
      <c r="B820" s="113"/>
      <c r="C820" s="113"/>
      <c r="D820" s="113"/>
      <c r="E820" s="113"/>
      <c r="F820" s="113"/>
      <c r="G820" s="113"/>
      <c r="H820" s="113"/>
    </row>
    <row r="821">
      <c r="A821" s="113"/>
      <c r="B821" s="113"/>
      <c r="C821" s="113"/>
      <c r="D821" s="113"/>
      <c r="E821" s="113"/>
      <c r="F821" s="113"/>
      <c r="G821" s="113"/>
      <c r="H821" s="113"/>
    </row>
    <row r="822">
      <c r="A822" s="113"/>
      <c r="B822" s="113"/>
      <c r="C822" s="113"/>
      <c r="D822" s="113"/>
      <c r="E822" s="113"/>
      <c r="F822" s="113"/>
      <c r="G822" s="113"/>
      <c r="H822" s="113"/>
    </row>
    <row r="823">
      <c r="A823" s="113"/>
      <c r="B823" s="113"/>
      <c r="C823" s="113"/>
      <c r="D823" s="113"/>
      <c r="E823" s="113"/>
      <c r="F823" s="113"/>
      <c r="G823" s="113"/>
      <c r="H823" s="113"/>
    </row>
    <row r="824">
      <c r="A824" s="113"/>
      <c r="B824" s="113"/>
      <c r="C824" s="113"/>
      <c r="D824" s="113"/>
      <c r="E824" s="113"/>
      <c r="F824" s="113"/>
      <c r="G824" s="113"/>
      <c r="H824" s="113"/>
    </row>
    <row r="825">
      <c r="A825" s="113"/>
      <c r="B825" s="113"/>
      <c r="C825" s="113"/>
      <c r="D825" s="113"/>
      <c r="E825" s="113"/>
      <c r="F825" s="113"/>
      <c r="G825" s="113"/>
      <c r="H825" s="113"/>
    </row>
    <row r="826">
      <c r="A826" s="113"/>
      <c r="B826" s="113"/>
      <c r="C826" s="113"/>
      <c r="D826" s="113"/>
      <c r="E826" s="113"/>
      <c r="F826" s="113"/>
      <c r="G826" s="113"/>
      <c r="H826" s="113"/>
    </row>
    <row r="827">
      <c r="A827" s="113"/>
      <c r="B827" s="113"/>
      <c r="C827" s="113"/>
      <c r="D827" s="113"/>
      <c r="E827" s="113"/>
      <c r="F827" s="113"/>
      <c r="G827" s="113"/>
      <c r="H827" s="113"/>
    </row>
    <row r="828">
      <c r="A828" s="113"/>
      <c r="B828" s="113"/>
      <c r="C828" s="113"/>
      <c r="D828" s="113"/>
      <c r="E828" s="113"/>
      <c r="F828" s="113"/>
      <c r="G828" s="113"/>
      <c r="H828" s="113"/>
    </row>
    <row r="829">
      <c r="A829" s="113"/>
      <c r="B829" s="113"/>
      <c r="C829" s="113"/>
      <c r="D829" s="113"/>
      <c r="E829" s="113"/>
      <c r="F829" s="113"/>
      <c r="G829" s="113"/>
      <c r="H829" s="113"/>
    </row>
    <row r="830">
      <c r="A830" s="113"/>
      <c r="B830" s="113"/>
      <c r="C830" s="113"/>
      <c r="D830" s="113"/>
      <c r="E830" s="113"/>
      <c r="F830" s="113"/>
      <c r="G830" s="113"/>
      <c r="H830" s="113"/>
    </row>
    <row r="831">
      <c r="A831" s="113"/>
      <c r="B831" s="113"/>
      <c r="C831" s="113"/>
      <c r="D831" s="113"/>
      <c r="E831" s="113"/>
      <c r="F831" s="113"/>
      <c r="G831" s="113"/>
      <c r="H831" s="113"/>
    </row>
    <row r="832">
      <c r="A832" s="113"/>
      <c r="B832" s="113"/>
      <c r="C832" s="113"/>
      <c r="D832" s="113"/>
      <c r="E832" s="113"/>
      <c r="F832" s="113"/>
      <c r="G832" s="113"/>
      <c r="H832" s="113"/>
    </row>
    <row r="833">
      <c r="A833" s="113"/>
      <c r="B833" s="113"/>
      <c r="C833" s="113"/>
      <c r="D833" s="113"/>
      <c r="E833" s="113"/>
      <c r="F833" s="113"/>
      <c r="G833" s="113"/>
      <c r="H833" s="113"/>
    </row>
    <row r="834">
      <c r="A834" s="113"/>
      <c r="B834" s="113"/>
      <c r="C834" s="113"/>
      <c r="D834" s="113"/>
      <c r="E834" s="113"/>
      <c r="F834" s="113"/>
      <c r="G834" s="113"/>
      <c r="H834" s="113"/>
    </row>
    <row r="835">
      <c r="A835" s="113"/>
      <c r="B835" s="113"/>
      <c r="C835" s="113"/>
      <c r="D835" s="113"/>
      <c r="E835" s="113"/>
      <c r="F835" s="113"/>
      <c r="G835" s="113"/>
      <c r="H835" s="113"/>
    </row>
    <row r="836">
      <c r="A836" s="113"/>
      <c r="B836" s="113"/>
      <c r="C836" s="113"/>
      <c r="D836" s="113"/>
      <c r="E836" s="113"/>
      <c r="F836" s="113"/>
      <c r="G836" s="113"/>
      <c r="H836" s="113"/>
    </row>
    <row r="837">
      <c r="A837" s="113"/>
      <c r="B837" s="113"/>
      <c r="C837" s="113"/>
      <c r="D837" s="113"/>
      <c r="E837" s="113"/>
      <c r="F837" s="113"/>
      <c r="G837" s="113"/>
      <c r="H837" s="113"/>
    </row>
    <row r="838">
      <c r="A838" s="113"/>
      <c r="B838" s="113"/>
      <c r="C838" s="113"/>
      <c r="D838" s="113"/>
      <c r="E838" s="113"/>
      <c r="F838" s="113"/>
      <c r="G838" s="113"/>
      <c r="H838" s="113"/>
    </row>
    <row r="839">
      <c r="A839" s="113"/>
      <c r="B839" s="113"/>
      <c r="C839" s="113"/>
      <c r="D839" s="113"/>
      <c r="E839" s="113"/>
      <c r="F839" s="113"/>
      <c r="G839" s="113"/>
      <c r="H839" s="113"/>
    </row>
    <row r="840">
      <c r="A840" s="113"/>
      <c r="B840" s="113"/>
      <c r="C840" s="113"/>
      <c r="D840" s="113"/>
      <c r="E840" s="113"/>
      <c r="F840" s="113"/>
      <c r="G840" s="113"/>
      <c r="H840" s="113"/>
    </row>
    <row r="841">
      <c r="A841" s="113"/>
      <c r="B841" s="113"/>
      <c r="C841" s="113"/>
      <c r="D841" s="113"/>
      <c r="E841" s="113"/>
      <c r="F841" s="113"/>
      <c r="G841" s="113"/>
      <c r="H841" s="113"/>
    </row>
    <row r="842">
      <c r="A842" s="113"/>
      <c r="B842" s="113"/>
      <c r="C842" s="113"/>
      <c r="D842" s="113"/>
      <c r="E842" s="113"/>
      <c r="F842" s="113"/>
      <c r="G842" s="113"/>
      <c r="H842" s="113"/>
    </row>
    <row r="843">
      <c r="A843" s="113"/>
      <c r="B843" s="113"/>
      <c r="C843" s="113"/>
      <c r="D843" s="113"/>
      <c r="E843" s="113"/>
      <c r="F843" s="113"/>
      <c r="G843" s="113"/>
      <c r="H843" s="113"/>
    </row>
    <row r="844">
      <c r="A844" s="113"/>
      <c r="B844" s="113"/>
      <c r="C844" s="113"/>
      <c r="D844" s="113"/>
      <c r="E844" s="113"/>
      <c r="F844" s="113"/>
      <c r="G844" s="113"/>
      <c r="H844" s="113"/>
    </row>
    <row r="845">
      <c r="A845" s="113"/>
      <c r="B845" s="113"/>
      <c r="C845" s="113"/>
      <c r="D845" s="113"/>
      <c r="E845" s="113"/>
      <c r="F845" s="113"/>
      <c r="G845" s="113"/>
      <c r="H845" s="113"/>
    </row>
    <row r="846">
      <c r="A846" s="113"/>
      <c r="B846" s="113"/>
      <c r="C846" s="113"/>
      <c r="D846" s="113"/>
      <c r="E846" s="113"/>
      <c r="F846" s="113"/>
      <c r="G846" s="113"/>
      <c r="H846" s="113"/>
    </row>
    <row r="847">
      <c r="A847" s="113"/>
      <c r="B847" s="113"/>
      <c r="C847" s="113"/>
      <c r="D847" s="113"/>
      <c r="E847" s="113"/>
      <c r="F847" s="113"/>
      <c r="G847" s="113"/>
      <c r="H847" s="113"/>
    </row>
    <row r="848">
      <c r="A848" s="113"/>
      <c r="B848" s="113"/>
      <c r="C848" s="113"/>
      <c r="D848" s="113"/>
      <c r="E848" s="113"/>
      <c r="F848" s="113"/>
      <c r="G848" s="113"/>
      <c r="H848" s="113"/>
    </row>
    <row r="849">
      <c r="A849" s="113"/>
      <c r="B849" s="113"/>
      <c r="C849" s="113"/>
      <c r="D849" s="113"/>
      <c r="E849" s="113"/>
      <c r="F849" s="113"/>
      <c r="G849" s="113"/>
      <c r="H849" s="113"/>
    </row>
    <row r="850">
      <c r="A850" s="113"/>
      <c r="B850" s="113"/>
      <c r="C850" s="113"/>
      <c r="D850" s="113"/>
      <c r="E850" s="113"/>
      <c r="F850" s="113"/>
      <c r="G850" s="113"/>
      <c r="H850" s="113"/>
    </row>
    <row r="851">
      <c r="A851" s="113"/>
      <c r="B851" s="113"/>
      <c r="C851" s="113"/>
      <c r="D851" s="113"/>
      <c r="E851" s="113"/>
      <c r="F851" s="113"/>
      <c r="G851" s="113"/>
      <c r="H851" s="113"/>
    </row>
    <row r="852">
      <c r="A852" s="113"/>
      <c r="B852" s="113"/>
      <c r="C852" s="113"/>
      <c r="D852" s="113"/>
      <c r="E852" s="113"/>
      <c r="F852" s="113"/>
      <c r="G852" s="113"/>
      <c r="H852" s="113"/>
    </row>
    <row r="853">
      <c r="A853" s="113"/>
      <c r="B853" s="113"/>
      <c r="C853" s="113"/>
      <c r="D853" s="113"/>
      <c r="E853" s="113"/>
      <c r="F853" s="113"/>
      <c r="G853" s="113"/>
      <c r="H853" s="113"/>
    </row>
    <row r="854">
      <c r="A854" s="113"/>
      <c r="B854" s="113"/>
      <c r="C854" s="113"/>
      <c r="D854" s="113"/>
      <c r="E854" s="113"/>
      <c r="F854" s="113"/>
      <c r="G854" s="113"/>
      <c r="H854" s="113"/>
    </row>
    <row r="855">
      <c r="A855" s="113"/>
      <c r="B855" s="113"/>
      <c r="C855" s="113"/>
      <c r="D855" s="113"/>
      <c r="E855" s="113"/>
      <c r="F855" s="113"/>
      <c r="G855" s="113"/>
      <c r="H855" s="113"/>
    </row>
    <row r="856">
      <c r="A856" s="113"/>
      <c r="B856" s="113"/>
      <c r="C856" s="113"/>
      <c r="D856" s="113"/>
      <c r="E856" s="113"/>
      <c r="F856" s="113"/>
      <c r="G856" s="113"/>
      <c r="H856" s="113"/>
    </row>
    <row r="857">
      <c r="A857" s="113"/>
      <c r="B857" s="113"/>
      <c r="C857" s="113"/>
      <c r="D857" s="113"/>
      <c r="E857" s="113"/>
      <c r="F857" s="113"/>
      <c r="G857" s="113"/>
      <c r="H857" s="113"/>
    </row>
    <row r="858">
      <c r="A858" s="113"/>
      <c r="B858" s="113"/>
      <c r="C858" s="113"/>
      <c r="D858" s="113"/>
      <c r="E858" s="113"/>
      <c r="F858" s="113"/>
      <c r="G858" s="113"/>
      <c r="H858" s="113"/>
    </row>
    <row r="859">
      <c r="A859" s="113"/>
      <c r="B859" s="113"/>
      <c r="C859" s="113"/>
      <c r="D859" s="113"/>
      <c r="E859" s="113"/>
      <c r="F859" s="113"/>
      <c r="G859" s="113"/>
      <c r="H859" s="113"/>
    </row>
    <row r="860">
      <c r="A860" s="113"/>
      <c r="B860" s="113"/>
      <c r="C860" s="113"/>
      <c r="D860" s="113"/>
      <c r="E860" s="113"/>
      <c r="F860" s="113"/>
      <c r="G860" s="113"/>
      <c r="H860" s="113"/>
    </row>
    <row r="861">
      <c r="A861" s="113"/>
      <c r="B861" s="113"/>
      <c r="C861" s="113"/>
      <c r="D861" s="113"/>
      <c r="E861" s="113"/>
      <c r="F861" s="113"/>
      <c r="G861" s="113"/>
      <c r="H861" s="113"/>
    </row>
    <row r="862">
      <c r="A862" s="113"/>
      <c r="B862" s="113"/>
      <c r="C862" s="113"/>
      <c r="D862" s="113"/>
      <c r="E862" s="113"/>
      <c r="F862" s="113"/>
      <c r="G862" s="113"/>
      <c r="H862" s="113"/>
    </row>
    <row r="863">
      <c r="A863" s="113"/>
      <c r="B863" s="113"/>
      <c r="C863" s="113"/>
      <c r="D863" s="113"/>
      <c r="E863" s="113"/>
      <c r="F863" s="113"/>
      <c r="G863" s="113"/>
      <c r="H863" s="113"/>
    </row>
    <row r="864">
      <c r="A864" s="113"/>
      <c r="B864" s="113"/>
      <c r="C864" s="113"/>
      <c r="D864" s="113"/>
      <c r="E864" s="113"/>
      <c r="F864" s="113"/>
      <c r="G864" s="113"/>
      <c r="H864" s="113"/>
    </row>
    <row r="865">
      <c r="A865" s="113"/>
      <c r="B865" s="113"/>
      <c r="C865" s="113"/>
      <c r="D865" s="113"/>
      <c r="E865" s="113"/>
      <c r="F865" s="113"/>
      <c r="G865" s="113"/>
      <c r="H865" s="113"/>
    </row>
    <row r="866">
      <c r="A866" s="113"/>
      <c r="B866" s="113"/>
      <c r="C866" s="113"/>
      <c r="D866" s="113"/>
      <c r="E866" s="113"/>
      <c r="F866" s="113"/>
      <c r="G866" s="113"/>
      <c r="H866" s="113"/>
    </row>
    <row r="867">
      <c r="A867" s="113"/>
      <c r="B867" s="113"/>
      <c r="C867" s="113"/>
      <c r="D867" s="113"/>
      <c r="E867" s="113"/>
      <c r="F867" s="113"/>
      <c r="G867" s="113"/>
      <c r="H867" s="113"/>
    </row>
    <row r="868">
      <c r="A868" s="113"/>
      <c r="B868" s="113"/>
      <c r="C868" s="113"/>
      <c r="D868" s="113"/>
      <c r="E868" s="113"/>
      <c r="F868" s="113"/>
      <c r="G868" s="113"/>
      <c r="H868" s="113"/>
    </row>
    <row r="869">
      <c r="A869" s="113"/>
      <c r="B869" s="113"/>
      <c r="C869" s="113"/>
      <c r="D869" s="113"/>
      <c r="E869" s="113"/>
      <c r="F869" s="113"/>
      <c r="G869" s="113"/>
      <c r="H869" s="113"/>
    </row>
    <row r="870">
      <c r="A870" s="113"/>
      <c r="B870" s="113"/>
      <c r="C870" s="113"/>
      <c r="D870" s="113"/>
      <c r="E870" s="113"/>
      <c r="F870" s="113"/>
      <c r="G870" s="113"/>
      <c r="H870" s="113"/>
    </row>
    <row r="871">
      <c r="A871" s="113"/>
      <c r="B871" s="113"/>
      <c r="C871" s="113"/>
      <c r="D871" s="113"/>
      <c r="E871" s="113"/>
      <c r="F871" s="113"/>
      <c r="G871" s="113"/>
      <c r="H871" s="113"/>
    </row>
    <row r="872">
      <c r="A872" s="113"/>
      <c r="B872" s="113"/>
      <c r="C872" s="113"/>
      <c r="D872" s="113"/>
      <c r="E872" s="113"/>
      <c r="F872" s="113"/>
      <c r="G872" s="113"/>
      <c r="H872" s="113"/>
    </row>
    <row r="873">
      <c r="A873" s="113"/>
      <c r="B873" s="113"/>
      <c r="C873" s="113"/>
      <c r="D873" s="113"/>
      <c r="E873" s="113"/>
      <c r="F873" s="113"/>
      <c r="G873" s="113"/>
      <c r="H873" s="113"/>
    </row>
    <row r="874">
      <c r="A874" s="113"/>
      <c r="B874" s="113"/>
      <c r="C874" s="113"/>
      <c r="D874" s="113"/>
      <c r="E874" s="113"/>
      <c r="F874" s="113"/>
      <c r="G874" s="113"/>
      <c r="H874" s="113"/>
    </row>
    <row r="875">
      <c r="A875" s="113"/>
      <c r="B875" s="113"/>
      <c r="C875" s="113"/>
      <c r="D875" s="113"/>
      <c r="E875" s="113"/>
      <c r="F875" s="113"/>
      <c r="G875" s="113"/>
      <c r="H875" s="113"/>
    </row>
    <row r="876">
      <c r="A876" s="113"/>
      <c r="B876" s="113"/>
      <c r="C876" s="113"/>
      <c r="D876" s="113"/>
      <c r="E876" s="113"/>
      <c r="F876" s="113"/>
      <c r="G876" s="113"/>
      <c r="H876" s="113"/>
    </row>
    <row r="877">
      <c r="A877" s="113"/>
      <c r="B877" s="113"/>
      <c r="C877" s="113"/>
      <c r="D877" s="113"/>
      <c r="E877" s="113"/>
      <c r="F877" s="113"/>
      <c r="G877" s="113"/>
      <c r="H877" s="113"/>
    </row>
    <row r="878">
      <c r="A878" s="113"/>
      <c r="B878" s="113"/>
      <c r="C878" s="113"/>
      <c r="D878" s="113"/>
      <c r="E878" s="113"/>
      <c r="F878" s="113"/>
      <c r="G878" s="113"/>
      <c r="H878" s="113"/>
    </row>
    <row r="879">
      <c r="A879" s="113"/>
      <c r="B879" s="113"/>
      <c r="C879" s="113"/>
      <c r="D879" s="113"/>
      <c r="E879" s="113"/>
      <c r="F879" s="113"/>
      <c r="G879" s="113"/>
      <c r="H879" s="113"/>
    </row>
    <row r="880">
      <c r="A880" s="113"/>
      <c r="B880" s="113"/>
      <c r="C880" s="113"/>
      <c r="D880" s="113"/>
      <c r="E880" s="113"/>
      <c r="F880" s="113"/>
      <c r="G880" s="113"/>
      <c r="H880" s="113"/>
    </row>
    <row r="881">
      <c r="A881" s="113"/>
      <c r="B881" s="113"/>
      <c r="C881" s="113"/>
      <c r="D881" s="113"/>
      <c r="E881" s="113"/>
      <c r="F881" s="113"/>
      <c r="G881" s="113"/>
      <c r="H881" s="113"/>
    </row>
    <row r="882">
      <c r="A882" s="113"/>
      <c r="B882" s="113"/>
      <c r="C882" s="113"/>
      <c r="D882" s="113"/>
      <c r="E882" s="113"/>
      <c r="F882" s="113"/>
      <c r="G882" s="113"/>
      <c r="H882" s="113"/>
    </row>
    <row r="883">
      <c r="A883" s="113"/>
      <c r="B883" s="113"/>
      <c r="C883" s="113"/>
      <c r="D883" s="113"/>
      <c r="E883" s="113"/>
      <c r="F883" s="113"/>
      <c r="G883" s="113"/>
      <c r="H883" s="113"/>
    </row>
    <row r="884">
      <c r="A884" s="113"/>
      <c r="B884" s="113"/>
      <c r="C884" s="113"/>
      <c r="D884" s="113"/>
      <c r="E884" s="113"/>
      <c r="F884" s="113"/>
      <c r="G884" s="113"/>
      <c r="H884" s="113"/>
    </row>
    <row r="885">
      <c r="A885" s="113"/>
      <c r="B885" s="113"/>
      <c r="C885" s="113"/>
      <c r="D885" s="113"/>
      <c r="E885" s="113"/>
      <c r="F885" s="113"/>
      <c r="G885" s="113"/>
      <c r="H885" s="113"/>
    </row>
    <row r="886">
      <c r="A886" s="113"/>
      <c r="B886" s="113"/>
      <c r="C886" s="113"/>
      <c r="D886" s="113"/>
      <c r="E886" s="113"/>
      <c r="F886" s="113"/>
      <c r="G886" s="113"/>
      <c r="H886" s="113"/>
    </row>
    <row r="887">
      <c r="A887" s="113"/>
      <c r="B887" s="113"/>
      <c r="C887" s="113"/>
      <c r="D887" s="113"/>
      <c r="E887" s="113"/>
      <c r="F887" s="113"/>
      <c r="G887" s="113"/>
      <c r="H887" s="113"/>
    </row>
    <row r="888">
      <c r="A888" s="113"/>
      <c r="B888" s="113"/>
      <c r="C888" s="113"/>
      <c r="D888" s="113"/>
      <c r="E888" s="113"/>
      <c r="F888" s="113"/>
      <c r="G888" s="113"/>
      <c r="H888" s="113"/>
    </row>
    <row r="889">
      <c r="A889" s="113"/>
      <c r="B889" s="113"/>
      <c r="C889" s="113"/>
      <c r="D889" s="113"/>
      <c r="E889" s="113"/>
      <c r="F889" s="113"/>
      <c r="G889" s="113"/>
      <c r="H889" s="113"/>
    </row>
    <row r="890">
      <c r="A890" s="113"/>
      <c r="B890" s="113"/>
      <c r="C890" s="113"/>
      <c r="D890" s="113"/>
      <c r="E890" s="113"/>
      <c r="F890" s="113"/>
      <c r="G890" s="113"/>
      <c r="H890" s="113"/>
    </row>
    <row r="891">
      <c r="A891" s="113"/>
      <c r="B891" s="113"/>
      <c r="C891" s="113"/>
      <c r="D891" s="113"/>
      <c r="E891" s="113"/>
      <c r="F891" s="113"/>
      <c r="G891" s="113"/>
      <c r="H891" s="113"/>
    </row>
    <row r="892">
      <c r="A892" s="113"/>
      <c r="B892" s="113"/>
      <c r="C892" s="113"/>
      <c r="D892" s="113"/>
      <c r="E892" s="113"/>
      <c r="F892" s="113"/>
      <c r="G892" s="113"/>
      <c r="H892" s="113"/>
    </row>
    <row r="893">
      <c r="A893" s="113"/>
      <c r="B893" s="113"/>
      <c r="C893" s="113"/>
      <c r="D893" s="113"/>
      <c r="E893" s="113"/>
      <c r="F893" s="113"/>
      <c r="G893" s="113"/>
      <c r="H893" s="113"/>
    </row>
    <row r="894">
      <c r="A894" s="113"/>
      <c r="B894" s="113"/>
      <c r="C894" s="113"/>
      <c r="D894" s="113"/>
      <c r="E894" s="113"/>
      <c r="F894" s="113"/>
      <c r="G894" s="113"/>
      <c r="H894" s="113"/>
    </row>
    <row r="895">
      <c r="A895" s="113"/>
      <c r="B895" s="113"/>
      <c r="C895" s="113"/>
      <c r="D895" s="113"/>
      <c r="E895" s="113"/>
      <c r="F895" s="113"/>
      <c r="G895" s="113"/>
      <c r="H895" s="113"/>
    </row>
    <row r="896">
      <c r="A896" s="113"/>
      <c r="B896" s="113"/>
      <c r="C896" s="113"/>
      <c r="D896" s="113"/>
      <c r="E896" s="113"/>
      <c r="F896" s="113"/>
      <c r="G896" s="113"/>
      <c r="H896" s="113"/>
    </row>
    <row r="897">
      <c r="A897" s="113"/>
      <c r="B897" s="113"/>
      <c r="C897" s="113"/>
      <c r="D897" s="113"/>
      <c r="E897" s="113"/>
      <c r="F897" s="113"/>
      <c r="G897" s="113"/>
      <c r="H897" s="113"/>
    </row>
    <row r="898">
      <c r="A898" s="113"/>
      <c r="B898" s="113"/>
      <c r="C898" s="113"/>
      <c r="D898" s="113"/>
      <c r="E898" s="113"/>
      <c r="F898" s="113"/>
      <c r="G898" s="113"/>
      <c r="H898" s="113"/>
    </row>
    <row r="899">
      <c r="A899" s="113"/>
      <c r="B899" s="113"/>
      <c r="C899" s="113"/>
      <c r="D899" s="113"/>
      <c r="E899" s="113"/>
      <c r="F899" s="113"/>
      <c r="G899" s="113"/>
      <c r="H899" s="113"/>
    </row>
    <row r="900">
      <c r="A900" s="113"/>
      <c r="B900" s="113"/>
      <c r="C900" s="113"/>
      <c r="D900" s="113"/>
      <c r="E900" s="113"/>
      <c r="F900" s="113"/>
      <c r="G900" s="113"/>
      <c r="H900" s="113"/>
    </row>
    <row r="901">
      <c r="A901" s="113"/>
      <c r="B901" s="113"/>
      <c r="C901" s="113"/>
      <c r="D901" s="113"/>
      <c r="E901" s="113"/>
      <c r="F901" s="113"/>
      <c r="G901" s="113"/>
      <c r="H901" s="113"/>
    </row>
    <row r="902">
      <c r="A902" s="113"/>
      <c r="B902" s="113"/>
      <c r="C902" s="113"/>
      <c r="D902" s="113"/>
      <c r="E902" s="113"/>
      <c r="F902" s="113"/>
      <c r="G902" s="113"/>
      <c r="H902" s="113"/>
    </row>
    <row r="903">
      <c r="A903" s="113"/>
      <c r="B903" s="113"/>
      <c r="C903" s="113"/>
      <c r="D903" s="113"/>
      <c r="E903" s="113"/>
      <c r="F903" s="113"/>
      <c r="G903" s="113"/>
      <c r="H903" s="113"/>
    </row>
    <row r="904">
      <c r="A904" s="113"/>
      <c r="B904" s="113"/>
      <c r="C904" s="113"/>
      <c r="D904" s="113"/>
      <c r="E904" s="113"/>
      <c r="F904" s="113"/>
      <c r="G904" s="113"/>
      <c r="H904" s="113"/>
    </row>
    <row r="905">
      <c r="A905" s="113"/>
      <c r="B905" s="113"/>
      <c r="C905" s="113"/>
      <c r="D905" s="113"/>
      <c r="E905" s="113"/>
      <c r="F905" s="113"/>
      <c r="G905" s="113"/>
      <c r="H905" s="113"/>
    </row>
    <row r="906">
      <c r="A906" s="113"/>
      <c r="B906" s="113"/>
      <c r="C906" s="113"/>
      <c r="D906" s="113"/>
      <c r="E906" s="113"/>
      <c r="F906" s="113"/>
      <c r="G906" s="113"/>
      <c r="H906" s="113"/>
    </row>
    <row r="907">
      <c r="A907" s="113"/>
      <c r="B907" s="113"/>
      <c r="C907" s="113"/>
      <c r="D907" s="113"/>
      <c r="E907" s="113"/>
      <c r="F907" s="113"/>
      <c r="G907" s="113"/>
      <c r="H907" s="113"/>
    </row>
    <row r="908">
      <c r="A908" s="113"/>
      <c r="B908" s="113"/>
      <c r="C908" s="113"/>
      <c r="D908" s="113"/>
      <c r="E908" s="113"/>
      <c r="F908" s="113"/>
      <c r="G908" s="113"/>
      <c r="H908" s="113"/>
    </row>
    <row r="909">
      <c r="A909" s="113"/>
      <c r="B909" s="113"/>
      <c r="C909" s="113"/>
      <c r="D909" s="113"/>
      <c r="E909" s="113"/>
      <c r="F909" s="113"/>
      <c r="G909" s="113"/>
      <c r="H909" s="113"/>
    </row>
    <row r="910">
      <c r="A910" s="113"/>
      <c r="B910" s="113"/>
      <c r="C910" s="113"/>
      <c r="D910" s="113"/>
      <c r="E910" s="113"/>
      <c r="F910" s="113"/>
      <c r="G910" s="113"/>
      <c r="H910" s="113"/>
    </row>
    <row r="911">
      <c r="A911" s="113"/>
      <c r="B911" s="113"/>
      <c r="C911" s="113"/>
      <c r="D911" s="113"/>
      <c r="E911" s="113"/>
      <c r="F911" s="113"/>
      <c r="G911" s="113"/>
      <c r="H911" s="113"/>
    </row>
    <row r="912">
      <c r="A912" s="113"/>
      <c r="B912" s="113"/>
      <c r="C912" s="113"/>
      <c r="D912" s="113"/>
      <c r="E912" s="113"/>
      <c r="F912" s="113"/>
      <c r="G912" s="113"/>
      <c r="H912" s="113"/>
    </row>
    <row r="913">
      <c r="A913" s="113"/>
      <c r="B913" s="113"/>
      <c r="C913" s="113"/>
      <c r="D913" s="113"/>
      <c r="E913" s="113"/>
      <c r="F913" s="113"/>
      <c r="G913" s="113"/>
      <c r="H913" s="113"/>
    </row>
    <row r="914">
      <c r="A914" s="113"/>
      <c r="B914" s="113"/>
      <c r="C914" s="113"/>
      <c r="D914" s="113"/>
      <c r="E914" s="113"/>
      <c r="F914" s="113"/>
      <c r="G914" s="113"/>
      <c r="H914" s="113"/>
    </row>
    <row r="915">
      <c r="A915" s="113"/>
      <c r="B915" s="113"/>
      <c r="C915" s="113"/>
      <c r="D915" s="113"/>
      <c r="E915" s="113"/>
      <c r="F915" s="113"/>
      <c r="G915" s="113"/>
      <c r="H915" s="113"/>
    </row>
    <row r="916">
      <c r="A916" s="113"/>
      <c r="B916" s="113"/>
      <c r="C916" s="113"/>
      <c r="D916" s="113"/>
      <c r="E916" s="113"/>
      <c r="F916" s="113"/>
      <c r="G916" s="113"/>
      <c r="H916" s="113"/>
    </row>
    <row r="917">
      <c r="A917" s="113"/>
      <c r="B917" s="113"/>
      <c r="C917" s="113"/>
      <c r="D917" s="113"/>
      <c r="E917" s="113"/>
      <c r="F917" s="113"/>
      <c r="G917" s="113"/>
      <c r="H917" s="113"/>
    </row>
    <row r="918">
      <c r="A918" s="113"/>
      <c r="B918" s="113"/>
      <c r="C918" s="113"/>
      <c r="D918" s="113"/>
      <c r="E918" s="113"/>
      <c r="F918" s="113"/>
      <c r="G918" s="113"/>
      <c r="H918" s="113"/>
    </row>
    <row r="919">
      <c r="A919" s="113"/>
      <c r="B919" s="113"/>
      <c r="C919" s="113"/>
      <c r="D919" s="113"/>
      <c r="E919" s="113"/>
      <c r="F919" s="113"/>
      <c r="G919" s="113"/>
      <c r="H919" s="113"/>
    </row>
    <row r="920">
      <c r="A920" s="113"/>
      <c r="B920" s="113"/>
      <c r="C920" s="113"/>
      <c r="D920" s="113"/>
      <c r="E920" s="113"/>
      <c r="F920" s="113"/>
      <c r="G920" s="113"/>
      <c r="H920" s="113"/>
    </row>
    <row r="921">
      <c r="A921" s="113"/>
      <c r="B921" s="113"/>
      <c r="C921" s="113"/>
      <c r="D921" s="113"/>
      <c r="E921" s="113"/>
      <c r="F921" s="113"/>
      <c r="G921" s="113"/>
      <c r="H921" s="113"/>
    </row>
    <row r="922">
      <c r="A922" s="113"/>
      <c r="B922" s="113"/>
      <c r="C922" s="113"/>
      <c r="D922" s="113"/>
      <c r="E922" s="113"/>
      <c r="F922" s="113"/>
      <c r="G922" s="113"/>
      <c r="H922" s="113"/>
    </row>
    <row r="923">
      <c r="A923" s="113"/>
      <c r="B923" s="113"/>
      <c r="C923" s="113"/>
      <c r="D923" s="113"/>
      <c r="E923" s="113"/>
      <c r="F923" s="113"/>
      <c r="G923" s="113"/>
      <c r="H923" s="113"/>
    </row>
    <row r="924">
      <c r="A924" s="113"/>
      <c r="B924" s="113"/>
      <c r="C924" s="113"/>
      <c r="D924" s="113"/>
      <c r="E924" s="113"/>
      <c r="F924" s="113"/>
      <c r="G924" s="113"/>
      <c r="H924" s="113"/>
    </row>
    <row r="925">
      <c r="A925" s="113"/>
      <c r="B925" s="113"/>
      <c r="C925" s="113"/>
      <c r="D925" s="113"/>
      <c r="E925" s="113"/>
      <c r="F925" s="113"/>
      <c r="G925" s="113"/>
      <c r="H925" s="113"/>
    </row>
    <row r="926">
      <c r="A926" s="113"/>
      <c r="B926" s="113"/>
      <c r="C926" s="113"/>
      <c r="D926" s="113"/>
      <c r="E926" s="113"/>
      <c r="F926" s="113"/>
      <c r="G926" s="113"/>
      <c r="H926" s="113"/>
    </row>
    <row r="927">
      <c r="A927" s="113"/>
      <c r="B927" s="113"/>
      <c r="C927" s="113"/>
      <c r="D927" s="113"/>
      <c r="E927" s="113"/>
      <c r="F927" s="113"/>
      <c r="G927" s="113"/>
      <c r="H927" s="113"/>
    </row>
    <row r="928">
      <c r="A928" s="113"/>
      <c r="B928" s="113"/>
      <c r="C928" s="113"/>
      <c r="D928" s="113"/>
      <c r="E928" s="113"/>
      <c r="F928" s="113"/>
      <c r="G928" s="113"/>
      <c r="H928" s="113"/>
    </row>
    <row r="929">
      <c r="A929" s="113"/>
      <c r="B929" s="113"/>
      <c r="C929" s="113"/>
      <c r="D929" s="113"/>
      <c r="E929" s="113"/>
      <c r="F929" s="113"/>
      <c r="G929" s="113"/>
      <c r="H929" s="113"/>
    </row>
    <row r="930">
      <c r="A930" s="113"/>
      <c r="B930" s="113"/>
      <c r="C930" s="113"/>
      <c r="D930" s="113"/>
      <c r="E930" s="113"/>
      <c r="F930" s="113"/>
      <c r="G930" s="113"/>
      <c r="H930" s="113"/>
    </row>
    <row r="931">
      <c r="A931" s="113"/>
      <c r="B931" s="113"/>
      <c r="C931" s="113"/>
      <c r="D931" s="113"/>
      <c r="E931" s="113"/>
      <c r="F931" s="113"/>
      <c r="G931" s="113"/>
      <c r="H931" s="113"/>
    </row>
    <row r="932">
      <c r="A932" s="113"/>
      <c r="B932" s="113"/>
      <c r="C932" s="113"/>
      <c r="D932" s="113"/>
      <c r="E932" s="113"/>
      <c r="F932" s="113"/>
      <c r="G932" s="113"/>
      <c r="H932" s="113"/>
    </row>
    <row r="933">
      <c r="A933" s="113"/>
      <c r="B933" s="113"/>
      <c r="C933" s="113"/>
      <c r="D933" s="113"/>
      <c r="E933" s="113"/>
      <c r="F933" s="113"/>
      <c r="G933" s="113"/>
      <c r="H933" s="113"/>
    </row>
    <row r="934">
      <c r="A934" s="113"/>
      <c r="B934" s="113"/>
      <c r="C934" s="113"/>
      <c r="D934" s="113"/>
      <c r="E934" s="113"/>
      <c r="F934" s="113"/>
      <c r="G934" s="113"/>
      <c r="H934" s="113"/>
    </row>
    <row r="935">
      <c r="A935" s="113"/>
      <c r="B935" s="113"/>
      <c r="C935" s="113"/>
      <c r="D935" s="113"/>
      <c r="E935" s="113"/>
      <c r="F935" s="113"/>
      <c r="G935" s="113"/>
      <c r="H935" s="113"/>
    </row>
    <row r="936">
      <c r="A936" s="113"/>
      <c r="B936" s="113"/>
      <c r="C936" s="113"/>
      <c r="D936" s="113"/>
      <c r="E936" s="113"/>
      <c r="F936" s="113"/>
      <c r="G936" s="113"/>
      <c r="H936" s="113"/>
    </row>
    <row r="937">
      <c r="A937" s="113"/>
      <c r="B937" s="113"/>
      <c r="C937" s="113"/>
      <c r="D937" s="113"/>
      <c r="E937" s="113"/>
      <c r="F937" s="113"/>
      <c r="G937" s="113"/>
      <c r="H937" s="113"/>
    </row>
    <row r="938">
      <c r="A938" s="113"/>
      <c r="B938" s="113"/>
      <c r="C938" s="113"/>
      <c r="D938" s="113"/>
      <c r="E938" s="113"/>
      <c r="F938" s="113"/>
      <c r="G938" s="113"/>
      <c r="H938" s="113"/>
    </row>
    <row r="939">
      <c r="A939" s="113"/>
      <c r="B939" s="113"/>
      <c r="C939" s="113"/>
      <c r="D939" s="113"/>
      <c r="E939" s="113"/>
      <c r="F939" s="113"/>
      <c r="G939" s="113"/>
      <c r="H939" s="113"/>
    </row>
    <row r="940">
      <c r="A940" s="113"/>
      <c r="B940" s="113"/>
      <c r="C940" s="113"/>
      <c r="D940" s="113"/>
      <c r="E940" s="113"/>
      <c r="F940" s="113"/>
      <c r="G940" s="113"/>
      <c r="H940" s="113"/>
    </row>
    <row r="941">
      <c r="A941" s="113"/>
      <c r="B941" s="113"/>
      <c r="C941" s="113"/>
      <c r="D941" s="113"/>
      <c r="E941" s="113"/>
      <c r="F941" s="113"/>
      <c r="G941" s="113"/>
      <c r="H941" s="113"/>
    </row>
    <row r="942">
      <c r="A942" s="113"/>
      <c r="B942" s="113"/>
      <c r="C942" s="113"/>
      <c r="D942" s="113"/>
      <c r="E942" s="113"/>
      <c r="F942" s="113"/>
      <c r="G942" s="113"/>
      <c r="H942" s="113"/>
    </row>
    <row r="943">
      <c r="A943" s="113"/>
      <c r="B943" s="113"/>
      <c r="C943" s="113"/>
      <c r="D943" s="113"/>
      <c r="E943" s="113"/>
      <c r="F943" s="113"/>
      <c r="G943" s="113"/>
      <c r="H943" s="113"/>
    </row>
    <row r="944">
      <c r="A944" s="113"/>
      <c r="B944" s="113"/>
      <c r="C944" s="113"/>
      <c r="D944" s="113"/>
      <c r="E944" s="113"/>
      <c r="F944" s="113"/>
      <c r="G944" s="113"/>
      <c r="H944" s="113"/>
    </row>
    <row r="945">
      <c r="A945" s="113"/>
      <c r="B945" s="113"/>
      <c r="C945" s="113"/>
      <c r="D945" s="113"/>
      <c r="E945" s="113"/>
      <c r="F945" s="113"/>
      <c r="G945" s="113"/>
      <c r="H945" s="113"/>
    </row>
    <row r="946">
      <c r="A946" s="113"/>
      <c r="B946" s="113"/>
      <c r="C946" s="113"/>
      <c r="D946" s="113"/>
      <c r="E946" s="113"/>
      <c r="F946" s="113"/>
      <c r="G946" s="113"/>
      <c r="H946" s="113"/>
    </row>
    <row r="947">
      <c r="A947" s="113"/>
      <c r="B947" s="113"/>
      <c r="C947" s="113"/>
      <c r="D947" s="113"/>
      <c r="E947" s="113"/>
      <c r="F947" s="113"/>
      <c r="G947" s="113"/>
      <c r="H947" s="113"/>
    </row>
    <row r="948">
      <c r="A948" s="113"/>
      <c r="B948" s="113"/>
      <c r="C948" s="113"/>
      <c r="D948" s="113"/>
      <c r="E948" s="113"/>
      <c r="F948" s="113"/>
      <c r="G948" s="113"/>
      <c r="H948" s="113"/>
    </row>
    <row r="949">
      <c r="A949" s="113"/>
      <c r="B949" s="113"/>
      <c r="C949" s="113"/>
      <c r="D949" s="113"/>
      <c r="E949" s="113"/>
      <c r="F949" s="113"/>
      <c r="G949" s="113"/>
      <c r="H949" s="113"/>
    </row>
    <row r="950">
      <c r="A950" s="113"/>
      <c r="B950" s="113"/>
      <c r="C950" s="113"/>
      <c r="D950" s="113"/>
      <c r="E950" s="113"/>
      <c r="F950" s="113"/>
      <c r="G950" s="113"/>
      <c r="H950" s="113"/>
    </row>
    <row r="951">
      <c r="A951" s="113"/>
      <c r="B951" s="113"/>
      <c r="C951" s="113"/>
      <c r="D951" s="113"/>
      <c r="E951" s="113"/>
      <c r="F951" s="113"/>
      <c r="G951" s="113"/>
      <c r="H951" s="113"/>
    </row>
    <row r="952">
      <c r="A952" s="113"/>
      <c r="B952" s="113"/>
      <c r="C952" s="113"/>
      <c r="D952" s="113"/>
      <c r="E952" s="113"/>
      <c r="F952" s="113"/>
      <c r="G952" s="113"/>
      <c r="H952" s="113"/>
    </row>
    <row r="953">
      <c r="A953" s="113"/>
      <c r="B953" s="113"/>
      <c r="C953" s="113"/>
      <c r="D953" s="113"/>
      <c r="E953" s="113"/>
      <c r="F953" s="113"/>
      <c r="G953" s="113"/>
      <c r="H953" s="113"/>
    </row>
    <row r="954">
      <c r="A954" s="113"/>
      <c r="B954" s="113"/>
      <c r="C954" s="113"/>
      <c r="D954" s="113"/>
      <c r="E954" s="113"/>
      <c r="F954" s="113"/>
      <c r="G954" s="113"/>
      <c r="H954" s="113"/>
    </row>
    <row r="955">
      <c r="A955" s="113"/>
      <c r="B955" s="113"/>
      <c r="C955" s="113"/>
      <c r="D955" s="113"/>
      <c r="E955" s="113"/>
      <c r="F955" s="113"/>
      <c r="G955" s="113"/>
      <c r="H955" s="113"/>
    </row>
    <row r="956">
      <c r="A956" s="113"/>
      <c r="B956" s="113"/>
      <c r="C956" s="113"/>
      <c r="D956" s="113"/>
      <c r="E956" s="113"/>
      <c r="F956" s="113"/>
      <c r="G956" s="113"/>
      <c r="H956" s="113"/>
    </row>
    <row r="957">
      <c r="A957" s="113"/>
      <c r="B957" s="113"/>
      <c r="C957" s="113"/>
      <c r="D957" s="113"/>
      <c r="E957" s="113"/>
      <c r="F957" s="113"/>
      <c r="G957" s="113"/>
      <c r="H957" s="113"/>
    </row>
    <row r="958">
      <c r="A958" s="113"/>
      <c r="B958" s="113"/>
      <c r="C958" s="113"/>
      <c r="D958" s="113"/>
      <c r="E958" s="113"/>
      <c r="F958" s="113"/>
      <c r="G958" s="113"/>
      <c r="H958" s="113"/>
    </row>
    <row r="959">
      <c r="A959" s="113"/>
      <c r="B959" s="113"/>
      <c r="C959" s="113"/>
      <c r="D959" s="113"/>
      <c r="E959" s="113"/>
      <c r="F959" s="113"/>
      <c r="G959" s="113"/>
      <c r="H959" s="113"/>
    </row>
    <row r="960">
      <c r="A960" s="113"/>
      <c r="B960" s="113"/>
      <c r="C960" s="113"/>
      <c r="D960" s="113"/>
      <c r="E960" s="113"/>
      <c r="F960" s="113"/>
      <c r="G960" s="113"/>
      <c r="H960" s="113"/>
    </row>
    <row r="961">
      <c r="A961" s="113"/>
      <c r="B961" s="113"/>
      <c r="C961" s="113"/>
      <c r="D961" s="113"/>
      <c r="E961" s="113"/>
      <c r="F961" s="113"/>
      <c r="G961" s="113"/>
      <c r="H961" s="113"/>
    </row>
    <row r="962">
      <c r="A962" s="113"/>
      <c r="B962" s="113"/>
      <c r="C962" s="113"/>
      <c r="D962" s="113"/>
      <c r="E962" s="113"/>
      <c r="F962" s="113"/>
      <c r="G962" s="113"/>
      <c r="H962" s="113"/>
    </row>
    <row r="963">
      <c r="A963" s="113"/>
      <c r="B963" s="113"/>
      <c r="C963" s="113"/>
      <c r="D963" s="113"/>
      <c r="E963" s="113"/>
      <c r="F963" s="113"/>
      <c r="G963" s="113"/>
      <c r="H963" s="113"/>
    </row>
    <row r="964">
      <c r="A964" s="113"/>
      <c r="B964" s="113"/>
      <c r="C964" s="113"/>
      <c r="D964" s="113"/>
      <c r="E964" s="113"/>
      <c r="F964" s="113"/>
      <c r="G964" s="113"/>
      <c r="H964" s="113"/>
    </row>
    <row r="965">
      <c r="A965" s="113"/>
      <c r="B965" s="113"/>
      <c r="C965" s="113"/>
      <c r="D965" s="113"/>
      <c r="E965" s="113"/>
      <c r="F965" s="113"/>
      <c r="G965" s="113"/>
      <c r="H965" s="113"/>
    </row>
    <row r="966">
      <c r="A966" s="113"/>
      <c r="B966" s="113"/>
      <c r="C966" s="113"/>
      <c r="D966" s="113"/>
      <c r="E966" s="113"/>
      <c r="F966" s="113"/>
      <c r="G966" s="113"/>
      <c r="H966" s="113"/>
    </row>
    <row r="967">
      <c r="A967" s="113"/>
      <c r="B967" s="113"/>
      <c r="C967" s="113"/>
      <c r="D967" s="113"/>
      <c r="E967" s="113"/>
      <c r="F967" s="113"/>
      <c r="G967" s="113"/>
      <c r="H967" s="113"/>
    </row>
    <row r="968">
      <c r="A968" s="113"/>
      <c r="B968" s="113"/>
      <c r="C968" s="113"/>
      <c r="D968" s="113"/>
      <c r="E968" s="113"/>
      <c r="F968" s="113"/>
      <c r="G968" s="113"/>
      <c r="H968" s="113"/>
    </row>
    <row r="969">
      <c r="A969" s="113"/>
      <c r="B969" s="113"/>
      <c r="C969" s="113"/>
      <c r="D969" s="113"/>
      <c r="E969" s="113"/>
      <c r="F969" s="113"/>
      <c r="G969" s="113"/>
      <c r="H969" s="113"/>
    </row>
    <row r="970">
      <c r="A970" s="113"/>
      <c r="B970" s="113"/>
      <c r="C970" s="113"/>
      <c r="D970" s="113"/>
      <c r="E970" s="113"/>
      <c r="F970" s="113"/>
      <c r="G970" s="113"/>
      <c r="H970" s="113"/>
    </row>
    <row r="971">
      <c r="A971" s="113"/>
      <c r="B971" s="113"/>
      <c r="C971" s="113"/>
      <c r="D971" s="113"/>
      <c r="E971" s="113"/>
      <c r="F971" s="113"/>
      <c r="G971" s="113"/>
      <c r="H971" s="113"/>
    </row>
    <row r="972">
      <c r="A972" s="113"/>
      <c r="B972" s="113"/>
      <c r="C972" s="113"/>
      <c r="D972" s="113"/>
      <c r="E972" s="113"/>
      <c r="F972" s="113"/>
      <c r="G972" s="113"/>
      <c r="H972" s="113"/>
    </row>
    <row r="973">
      <c r="A973" s="113"/>
      <c r="B973" s="113"/>
      <c r="C973" s="113"/>
      <c r="D973" s="113"/>
      <c r="E973" s="113"/>
      <c r="F973" s="113"/>
      <c r="G973" s="113"/>
      <c r="H973" s="113"/>
    </row>
    <row r="974">
      <c r="A974" s="113"/>
      <c r="B974" s="113"/>
      <c r="C974" s="113"/>
      <c r="D974" s="113"/>
      <c r="E974" s="113"/>
      <c r="F974" s="113"/>
      <c r="G974" s="113"/>
      <c r="H974" s="113"/>
    </row>
    <row r="975">
      <c r="A975" s="113"/>
      <c r="B975" s="113"/>
      <c r="C975" s="113"/>
      <c r="D975" s="113"/>
      <c r="E975" s="113"/>
      <c r="F975" s="113"/>
      <c r="G975" s="113"/>
      <c r="H975" s="113"/>
    </row>
    <row r="976">
      <c r="A976" s="113"/>
      <c r="B976" s="113"/>
      <c r="C976" s="113"/>
      <c r="D976" s="113"/>
      <c r="E976" s="113"/>
      <c r="F976" s="113"/>
      <c r="G976" s="113"/>
      <c r="H976" s="113"/>
    </row>
    <row r="977">
      <c r="A977" s="113"/>
      <c r="B977" s="113"/>
      <c r="C977" s="113"/>
      <c r="D977" s="113"/>
      <c r="E977" s="113"/>
      <c r="F977" s="113"/>
      <c r="G977" s="113"/>
      <c r="H977" s="113"/>
    </row>
    <row r="978">
      <c r="A978" s="113"/>
      <c r="B978" s="113"/>
      <c r="C978" s="113"/>
      <c r="D978" s="113"/>
      <c r="E978" s="113"/>
      <c r="F978" s="113"/>
      <c r="G978" s="113"/>
      <c r="H978" s="113"/>
    </row>
    <row r="979">
      <c r="A979" s="113"/>
      <c r="B979" s="113"/>
      <c r="C979" s="113"/>
      <c r="D979" s="113"/>
      <c r="E979" s="113"/>
      <c r="F979" s="113"/>
      <c r="G979" s="113"/>
      <c r="H979" s="113"/>
    </row>
    <row r="980">
      <c r="A980" s="113"/>
      <c r="B980" s="113"/>
      <c r="C980" s="113"/>
      <c r="D980" s="113"/>
      <c r="E980" s="113"/>
      <c r="F980" s="113"/>
      <c r="G980" s="113"/>
      <c r="H980" s="113"/>
    </row>
    <row r="981">
      <c r="A981" s="113"/>
      <c r="B981" s="113"/>
      <c r="C981" s="113"/>
      <c r="D981" s="113"/>
      <c r="E981" s="113"/>
      <c r="F981" s="113"/>
      <c r="G981" s="113"/>
      <c r="H981" s="113"/>
    </row>
    <row r="982">
      <c r="A982" s="113"/>
      <c r="B982" s="113"/>
      <c r="C982" s="113"/>
      <c r="D982" s="113"/>
      <c r="E982" s="113"/>
      <c r="F982" s="113"/>
      <c r="G982" s="113"/>
      <c r="H982" s="113"/>
    </row>
    <row r="983">
      <c r="A983" s="113"/>
      <c r="B983" s="113"/>
      <c r="C983" s="113"/>
      <c r="D983" s="113"/>
      <c r="E983" s="113"/>
      <c r="F983" s="113"/>
      <c r="G983" s="113"/>
      <c r="H983" s="113"/>
    </row>
    <row r="984">
      <c r="A984" s="113"/>
      <c r="B984" s="113"/>
      <c r="C984" s="113"/>
      <c r="D984" s="113"/>
      <c r="E984" s="113"/>
      <c r="F984" s="113"/>
      <c r="G984" s="113"/>
      <c r="H984" s="113"/>
    </row>
    <row r="985">
      <c r="A985" s="113"/>
      <c r="B985" s="113"/>
      <c r="C985" s="113"/>
      <c r="D985" s="113"/>
      <c r="E985" s="113"/>
      <c r="F985" s="113"/>
      <c r="G985" s="113"/>
      <c r="H985" s="113"/>
    </row>
    <row r="986">
      <c r="A986" s="113"/>
      <c r="B986" s="113"/>
      <c r="C986" s="113"/>
      <c r="D986" s="113"/>
      <c r="E986" s="113"/>
      <c r="F986" s="113"/>
      <c r="G986" s="113"/>
      <c r="H986" s="113"/>
    </row>
    <row r="987">
      <c r="A987" s="113"/>
      <c r="B987" s="113"/>
      <c r="C987" s="113"/>
      <c r="D987" s="113"/>
      <c r="E987" s="113"/>
      <c r="F987" s="113"/>
      <c r="G987" s="113"/>
      <c r="H987" s="113"/>
    </row>
    <row r="988">
      <c r="A988" s="113"/>
      <c r="B988" s="113"/>
      <c r="C988" s="113"/>
      <c r="D988" s="113"/>
      <c r="E988" s="113"/>
      <c r="F988" s="113"/>
      <c r="G988" s="113"/>
      <c r="H988" s="113"/>
    </row>
    <row r="989">
      <c r="A989" s="113"/>
      <c r="B989" s="113"/>
      <c r="C989" s="113"/>
      <c r="D989" s="113"/>
      <c r="E989" s="113"/>
      <c r="F989" s="113"/>
      <c r="G989" s="113"/>
      <c r="H989" s="113"/>
    </row>
    <row r="990">
      <c r="A990" s="113"/>
      <c r="B990" s="113"/>
      <c r="C990" s="113"/>
      <c r="D990" s="113"/>
      <c r="E990" s="113"/>
      <c r="F990" s="113"/>
      <c r="G990" s="113"/>
      <c r="H990" s="113"/>
    </row>
    <row r="991">
      <c r="A991" s="113"/>
      <c r="B991" s="113"/>
      <c r="C991" s="113"/>
      <c r="D991" s="113"/>
      <c r="E991" s="113"/>
      <c r="F991" s="113"/>
      <c r="G991" s="113"/>
      <c r="H991" s="113"/>
    </row>
    <row r="992">
      <c r="A992" s="113"/>
      <c r="B992" s="113"/>
      <c r="C992" s="113"/>
      <c r="D992" s="113"/>
      <c r="E992" s="113"/>
      <c r="F992" s="113"/>
      <c r="G992" s="113"/>
      <c r="H992" s="113"/>
    </row>
    <row r="993">
      <c r="A993" s="113"/>
      <c r="B993" s="113"/>
      <c r="C993" s="113"/>
      <c r="D993" s="113"/>
      <c r="E993" s="113"/>
      <c r="F993" s="113"/>
      <c r="G993" s="113"/>
      <c r="H993" s="113"/>
    </row>
    <row r="994">
      <c r="A994" s="113"/>
      <c r="B994" s="113"/>
      <c r="C994" s="113"/>
      <c r="D994" s="113"/>
      <c r="E994" s="113"/>
      <c r="F994" s="113"/>
      <c r="G994" s="113"/>
      <c r="H994" s="113"/>
    </row>
    <row r="995">
      <c r="A995" s="113"/>
      <c r="B995" s="113"/>
      <c r="C995" s="113"/>
      <c r="D995" s="113"/>
      <c r="E995" s="113"/>
      <c r="F995" s="113"/>
      <c r="G995" s="113"/>
      <c r="H995" s="113"/>
    </row>
    <row r="996">
      <c r="A996" s="113"/>
      <c r="B996" s="113"/>
      <c r="C996" s="113"/>
      <c r="D996" s="113"/>
      <c r="E996" s="113"/>
      <c r="F996" s="113"/>
      <c r="G996" s="113"/>
      <c r="H996" s="113"/>
    </row>
    <row r="997">
      <c r="A997" s="113"/>
      <c r="B997" s="113"/>
      <c r="C997" s="113"/>
      <c r="D997" s="113"/>
      <c r="E997" s="113"/>
      <c r="F997" s="113"/>
      <c r="G997" s="113"/>
      <c r="H997" s="113"/>
    </row>
    <row r="998">
      <c r="A998" s="113"/>
      <c r="B998" s="113"/>
      <c r="C998" s="113"/>
      <c r="D998" s="113"/>
      <c r="E998" s="113"/>
      <c r="F998" s="113"/>
      <c r="G998" s="113"/>
      <c r="H998" s="113"/>
    </row>
    <row r="999">
      <c r="A999" s="113"/>
      <c r="B999" s="113"/>
      <c r="C999" s="113"/>
      <c r="D999" s="113"/>
      <c r="E999" s="113"/>
      <c r="F999" s="113"/>
      <c r="G999" s="113"/>
      <c r="H999" s="113"/>
    </row>
    <row r="1000">
      <c r="A1000" s="113"/>
      <c r="B1000" s="113"/>
      <c r="C1000" s="113"/>
      <c r="D1000" s="113"/>
      <c r="E1000" s="113"/>
      <c r="F1000" s="113"/>
      <c r="G1000" s="113"/>
      <c r="H1000" s="113"/>
    </row>
  </sheetData>
  <mergeCells count="17">
    <mergeCell ref="A1:H2"/>
    <mergeCell ref="A3:H3"/>
    <mergeCell ref="A15:B15"/>
    <mergeCell ref="C15:H15"/>
    <mergeCell ref="A17:H17"/>
    <mergeCell ref="A28:H28"/>
    <mergeCell ref="A35:H35"/>
    <mergeCell ref="B43:H43"/>
    <mergeCell ref="B44:H44"/>
    <mergeCell ref="A45:H45"/>
    <mergeCell ref="B36:H36"/>
    <mergeCell ref="B37:H37"/>
    <mergeCell ref="B38:H38"/>
    <mergeCell ref="B39:H39"/>
    <mergeCell ref="B40:H40"/>
    <mergeCell ref="B41:H41"/>
    <mergeCell ref="B42:H42"/>
  </mergeCells>
  <drawing r:id="rId1"/>
</worksheet>
</file>