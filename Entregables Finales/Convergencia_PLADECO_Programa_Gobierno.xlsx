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8fa98024bbc244b/Escritorio/Proceso Final PLADECO/Entregables Finales/"/>
    </mc:Choice>
  </mc:AlternateContent>
  <xr:revisionPtr revIDLastSave="6" documentId="11_353B236457F03BDD8FF1E3B7FD647EB62E13A4BE" xr6:coauthVersionLast="47" xr6:coauthVersionMax="47" xr10:uidLastSave="{3762C30D-2FD0-4363-A89B-16ECCEFDD4B7}"/>
  <bookViews>
    <workbookView xWindow="-108" yWindow="-108" windowWidth="23256" windowHeight="12456" firstSheet="1" activeTab="2" xr2:uid="{00000000-000D-0000-FFFF-FFFF00000000}"/>
  </bookViews>
  <sheets>
    <sheet name="Ejes Estrategicos" sheetId="1" r:id="rId1"/>
    <sheet name="Desarrollo Comunitario" sheetId="2" r:id="rId2"/>
    <sheet name="Convergencia PLADECO-Programa" sheetId="3" r:id="rId3"/>
    <sheet name="Resumen Convergencia" sheetId="4" r:id="rId4"/>
    <sheet name="Infraestructura Existente" sheetId="5" r:id="rId5"/>
  </sheets>
  <definedNames>
    <definedName name="_xlnm._FilterDatabase" localSheetId="2" hidden="1">'Convergencia PLADECO-Programa'!$A$1:$O$201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E9" i="1"/>
</calcChain>
</file>

<file path=xl/sharedStrings.xml><?xml version="1.0" encoding="utf-8"?>
<sst xmlns="http://schemas.openxmlformats.org/spreadsheetml/2006/main" count="2828" uniqueCount="2156">
  <si>
    <t>Tabla N 9: Ejes Estrategicos del PLADECO 2025-2035 - Comuna de Rengo</t>
  </si>
  <si>
    <t>N</t>
  </si>
  <si>
    <t>Eje Estrategico PLADECO</t>
  </si>
  <si>
    <t>Objetivos Estrategicos (OE)</t>
  </si>
  <si>
    <t>Objetivos Especificos Clave</t>
  </si>
  <si>
    <t>N Acciones</t>
  </si>
  <si>
    <t>% Total</t>
  </si>
  <si>
    <t>Eje 1: Cultura, Turismo, Deportes, Recreacion y Bienestar Social (Salud)</t>
  </si>
  <si>
    <t>OE 1.1 Desarrollar Plan de Turismo Rural, Patrimonial y Enoturistico
OE 1.2 Inventario y Proteccion Patrimonial
OE 1.3 Ampliar Infraestructura Deportiva
OE 1.4 Fortalecer Inclusion Social (AM, PcD, Migrantes)
OE 1.5 Reducir Consumo Alcohol y Drogas</t>
  </si>
  <si>
    <t>Fortalecer infraestructura cultural; posicionar a Rengo como destino turistico; ampliar acceso deportivo y recreativo; fortalecer proteccion social y bienestar comunitario; reducir factores de riesgo en salud publica</t>
  </si>
  <si>
    <t>31,4%</t>
  </si>
  <si>
    <t>Eje 2: Desarrollo Economico Comunal</t>
  </si>
  <si>
    <t>OE 2.1 Elevar Depto. Desarrollo Economico a Direccion
OE 2.2 Fortalecer OMIL con Reconversion Laboral
OE 2.3 Polos de Emprendimiento e Innovacion
OE 2.4 Turismo Rural y Enologico
OE 2.5 Transicion Agricultura Sustentable</t>
  </si>
  <si>
    <t>Fortalecer emprendimiento y PYMES; diversificar base productiva agricola; promover desarrollo comercial; mejorar empleabilidad; impulsar turismo como sector economico</t>
  </si>
  <si>
    <t>16,1%</t>
  </si>
  <si>
    <t>Eje 3: Educacion y Capacitacion para el Desarrollo Humano</t>
  </si>
  <si>
    <t>OE 3.1 Universalizar Preescolar 70%
OE 3.2 Reducir Desercion &lt;6%
OE 3.3 Aumentar Educacion Superior 50%
OE 3.4 Alcanzar 12,1 anos escolaridad
OE 3.5 Ampliar Oferta SENCE/OTEC</t>
  </si>
  <si>
    <t>Mejorar calidad educativa; fortalecer educacion tecnico-profesional; modernizar infraestructura educativa; ampliar capacitacion adultos; reducir brechas de escolaridad</t>
  </si>
  <si>
    <t>15,1%</t>
  </si>
  <si>
    <t>Eje 4: Desarrollo Urbano, Vivienda, Infraestructura, Vialidad y Medio Ambiente</t>
  </si>
  <si>
    <t>OE 4.1 Nuevo PRC
OE 4.2 Regeneracion 5 Barrios Vulnerables
OE 4.3 Red Ciclovias 15 km
OE 4.4 Alcantarillado 90%
OE 4.5 Plan Riesgo Hidrico Rio Claro
OE 4.6 Gestion Ambiental Integral</t>
  </si>
  <si>
    <t>Reducir deficit habitacional; mejorar conectividad vial; aumentar areas verdes; gestion ambiental sostenible; planificacion territorial; gestion del riesgo hidrico</t>
  </si>
  <si>
    <t>17,2%</t>
  </si>
  <si>
    <t>Eje 5: Seguridad Publica y Gestion de Riesgos y Emergencias</t>
  </si>
  <si>
    <t>OE 5.1 NNA Inseguros &lt;25%
OE 5.2 VIF Mujer &lt;200 casos
OE 5.3 Robos Violentos &lt;80
OE 5.4 Convivencia Escolar 100%
OE 5.5 Plan Gestion Riesgo Desastres</t>
  </si>
  <si>
    <t>Fortalecer prevencion del delito; recuperar espacios publicos seguros; proteger NNA y mujeres de violencia; fortalecer gestion de riesgos y emergencias</t>
  </si>
  <si>
    <t>Eje 6: Innovacion, Modernizacion y Optimizacion de la Gestion Municipal</t>
  </si>
  <si>
    <t>OE 6.1 Unidad M&amp;E PLADECO
OE 6.2 Actualizar Politica RRHH
OE 6.3 Sistema ERP Municipal
OE 6.4 Crear Unidad Medio Ambiente
OE 6.5 Direccion Desarrollo Economico
OE 6.6 Rendicion Cuentas Semestral</t>
  </si>
  <si>
    <t>Digitalizar servicios municipales; fortalecer transparencia y participacion; mejorar capacidades del personal; gestion basada en evidencia; modernizar estructura organica</t>
  </si>
  <si>
    <t>TOTAL PLADECO 2025-2035</t>
  </si>
  <si>
    <t>32 Objetivos Estrategicos</t>
  </si>
  <si>
    <t>6 Ejes x 32 OE x 93 Acciones PLADECO articuladas con 159 Acciones Programa de Gobierno (97,9% convergencia)</t>
  </si>
  <si>
    <t>100%</t>
  </si>
  <si>
    <t>Fuente: Elaboracion Propia - PLADECO Rengo 2025-2035 | Municipalidad de Rengo</t>
  </si>
  <si>
    <t>Desarrollo Comunitario: Organizaciones Funcionales y Territoriales - PLADECO Rengo 2025-2035</t>
  </si>
  <si>
    <t>A. Caracterizacion del Tejido Organizacional Comunal</t>
  </si>
  <si>
    <t>Tipo de Organizacion</t>
  </si>
  <si>
    <t>Cantidad</t>
  </si>
  <si>
    <t>Distribucion Territorial</t>
  </si>
  <si>
    <t>Rol en el PLADECO</t>
  </si>
  <si>
    <t>Estado Actual</t>
  </si>
  <si>
    <t>Accion Estrategica</t>
  </si>
  <si>
    <t>Comites de Vivienda</t>
  </si>
  <si>
    <t>33,0%</t>
  </si>
  <si>
    <t>65% urbano (Las Torres, Villa San Francisco, El Naranjal) / 35% rural</t>
  </si>
  <si>
    <t>Validar diagnostico habitacional; priorizar proyectos MINVU-SERVIU; articular demanda deficit 28,8% cualitativo</t>
  </si>
  <si>
    <t>Activos pero con demanda insatisfecha historica; 14+ anos de espera en algunos comites</t>
  </si>
  <si>
    <t>Programa vivienda transparente; articular con MINVU-SERVIU para reducir deficit; registrar y priorizar comites</t>
  </si>
  <si>
    <t>Juntas de Vecinos y Comites de Adelanto</t>
  </si>
  <si>
    <t>27,9%</t>
  </si>
  <si>
    <t>49 urbanas entrevistadas + rurales en 21 localidades. 60% urbano / 40% rural</t>
  </si>
  <si>
    <t>Instancia base de participacion territorial; validacion diagnostico PLADECO; canalizacion de demandas; co-gestion espacios publicos</t>
  </si>
  <si>
    <t>Relacion con Municipalidad calificada como deficiente; requerimientos sin respuesta; percepcion de concentracion en centro urbano</t>
  </si>
  <si>
    <t>Actualizar Ordenanza Participacion (14+ anos); crear plataforma digital "Rengo Participa"; fortalecer COSOC; mesas barriales</t>
  </si>
  <si>
    <t>Agrupaciones Socioculturales</t>
  </si>
  <si>
    <t>18,2%</t>
  </si>
  <si>
    <t>Concentradas en Rengo centro y Rosario; incluye grupos de teatro, danza, musica, artesania</t>
  </si>
  <si>
    <t>Rescate identidad cultural; Festival Saberes Rio Claro; programas patrimonio; actividades Centro Cultural</t>
  </si>
  <si>
    <t>Sin Plan Cultural Municipal vigente; presupuesto cultura apenas 0,52% del gasto total; 66% ciudadania percibe identidad debil</t>
  </si>
  <si>
    <t>Crear Plan Cultural Municipal; construir Centro Cultural Av. El Rodeo; marca "Rengo Origen"; festival tradiciones</t>
  </si>
  <si>
    <t>Clubes Deportivos</t>
  </si>
  <si>
    <t>16,4%</t>
  </si>
  <si>
    <t>~300 socios y ~500 jugadores por club principal. Distribucion urbana y rural, con deficit en Rosario</t>
  </si>
  <si>
    <t>Articular con Escuelas Deportivas Municipales; campeonatos escolares; promover actividad fisica inclusiva; Eje 1 OE 1.3</t>
  </si>
  <si>
    <t>Sin lugar de reunion propio; sin piscina temperada; falta iluminacion recintos; areas verdes 1,96 m2/hab</t>
  </si>
  <si>
    <t>Complejo Deportivo "El Guerrero"; Polideportivo Rosario; Escuelas Deportivas verano/invierno; FONDEPORTE becas</t>
  </si>
  <si>
    <t>Clubes de Adulto Mayor</t>
  </si>
  <si>
    <t>2,4%</t>
  </si>
  <si>
    <t>Distribuidos en Rengo urbano y Rosario; vinculados a ELEAM y programas SENAMA</t>
  </si>
  <si>
    <t>Programas envejecimiento activo; prevencion deterioro funcional; articulacion con red APS; Eje 1 OE 1.4</t>
  </si>
  <si>
    <t>8.796 AM (IE=72,1); ELEAM operativo (2022) pero cobertura insuficiente; 10.528 pacientes cronicos PSCV</t>
  </si>
  <si>
    <t>Red de Cuidados "Rengo Cuida"; Centros de Dia "Rengo Acompana"; programa nutricion; salud mental AM</t>
  </si>
  <si>
    <t>Comites de Agua Potable Rural (APR)</t>
  </si>
  <si>
    <t>2,1%</t>
  </si>
  <si>
    <t>Localidades rurales: Lo Cartagena, Popeta, El Retiro, Chanqueahue y otros</t>
  </si>
  <si>
    <t>Gestion recursos hidricos comunitarios; articulacion con DGA y DOH; plan de modernizacion APR; Eje 4 OE 4.5</t>
  </si>
  <si>
    <t>93,1% cobertura agua potable (6,9% sin acceso ~4.500 personas); crisis hidrica -30-35% precipitaciones; demanda 220,8 hm3/ano</t>
  </si>
  <si>
    <t>Modernizar 12 APR; Plan Gestion Riesgo Hidrico Rio Claro; alerta temprana crecidas; proteccion acuiferos</t>
  </si>
  <si>
    <t>Organizaciones Ambientales (Ecoconciencia y otros)</t>
  </si>
  <si>
    <t>0,9%</t>
  </si>
  <si>
    <t>Ecoconciencia (2022) y Comite Ambiental Comunal; presencia urbana con proyeccion rural</t>
  </si>
  <si>
    <t>Educacion ambiental; fiscalizacion residuos; proteccion Rio Claro; Eje 4 OE 4.6 y Eje 6 OE 6.4</t>
  </si>
  <si>
    <t>Sin Unidad de Medio Ambiente municipal; centros reciclaje convertidos en microbasurales; 80% especies exoticas</t>
  </si>
  <si>
    <t>Crear Unidad Medio Ambiente (OE 6.4); Plan Accion Climatica; programa reforestacion; corredores verdes</t>
  </si>
  <si>
    <t>COSOC (Consejo Sociedad Civil)</t>
  </si>
  <si>
    <t>0,3%</t>
  </si>
  <si>
    <t>Instancia comunal unica; representacion urbano-rural</t>
  </si>
  <si>
    <t>Organo consultivo obligatorio (Ley 20.500); validacion PLADECO; fiscalizacion ciudadana; rendicion cuentas</t>
  </si>
  <si>
    <t>Activo pero Ordenanza 14+ anos sin modificar; sin mecanismos digitales; sin integracion paritaria; sin cupos NNA</t>
  </si>
  <si>
    <t>Actualizar Ordenanza; integracion paritaria (Instructivo 007/2022); cuentas publicas participativas semestrales (OE 6.6)</t>
  </si>
  <si>
    <t>Junta de Vigilancia Rio Claro</t>
  </si>
  <si>
    <t>1.200 regantes; 74 anos funcionamiento; 7 directores; cuenca 921 km2</t>
  </si>
  <si>
    <t>Gestion recurso hidrico estrategico; articulacion con DGA; produccion agricola; embalse 10 mill. m3 / 8.000 ha riego</t>
  </si>
  <si>
    <t>20 anos sequia declarada; 30% reduccion produccion agricola; perdida 3.950 ha (-26%); 110 incendios 2010-2018</t>
  </si>
  <si>
    <t>Plan Gestion Riesgo Hidrico; Embalse El Bollenar; transicion agricultura sustentable (OE 2.5); alerta temprana</t>
  </si>
  <si>
    <t>Organizaciones de Transporte (Buses + Colectivos)</t>
  </si>
  <si>
    <t>GALBUS, SERVIBUS + 6 lineas colectivos (Letrero Blanco, Rurales Popeta, Villa Primavera, Linea Azul, Amarilla)</t>
  </si>
  <si>
    <t>Conectividad territorial; reduccion brecha urbano-rural; articulacion con Metrotren (2021); accesibilidad servicios</t>
  </si>
  <si>
    <t>Deficit frecuencia zonas rurales; localidades mas alejadas son las mas aisladas en transporte; sin paraderos inteligentes</t>
  </si>
  <si>
    <t>Paraderos inteligentes; Red Transporte Publico; articular Metrotren como activo economico (OE 2.5); ciclovias 15 km</t>
  </si>
  <si>
    <t>TOTAL ORGANIZACIONES</t>
  </si>
  <si>
    <t>B. Brechas de la Ordenanza de Participacion Ciudadana (Decreto Alcaldicio N 1100/2011)</t>
  </si>
  <si>
    <t>Dimension</t>
  </si>
  <si>
    <t>Ordenanza Rengo (2011)</t>
  </si>
  <si>
    <t>Estandar Actual (SUBDERE 2023)</t>
  </si>
  <si>
    <t>Brecha</t>
  </si>
  <si>
    <t>Gravedad</t>
  </si>
  <si>
    <t>Accion PLADECO</t>
  </si>
  <si>
    <t>Plazo</t>
  </si>
  <si>
    <t>Principios rectores</t>
  </si>
  <si>
    <t>No define principios explicitos</t>
  </si>
  <si>
    <t>Democracia, equidad, inclusion, no discriminacion, oportunidad, incidencia</t>
  </si>
  <si>
    <t>Ausencia total de principios orientadores</t>
  </si>
  <si>
    <t>Alta</t>
  </si>
  <si>
    <t>Actualizar Ordenanza con principios Ley 20.500 e Instructivo 007/2022</t>
  </si>
  <si>
    <t>C</t>
  </si>
  <si>
    <t>Sujetos de derecho</t>
  </si>
  <si>
    <t>Solo vecinos residentes</t>
  </si>
  <si>
    <t>Incluir trabajadores, estudiantes y personas con vinculos permanentes</t>
  </si>
  <si>
    <t>Excluye 3.217 migrantes (5,06%) y poblacion flotante</t>
  </si>
  <si>
    <t>Ampliar sujetos de derecho conforme a modelo Providencia</t>
  </si>
  <si>
    <t>Composicion COSOC</t>
  </si>
  <si>
    <t>Delegado a reglamento separado</t>
  </si>
  <si>
    <t>Integracion paritaria, cupos indigenas, representacion territorial</t>
  </si>
  <si>
    <t>Sin paridad genero; sin cupos indigenas (3.813 personas, 5,99%); sin equilibrio urbano-rural</t>
  </si>
  <si>
    <t>Reglamento COSOC con paridad + cupos + representacion territorial</t>
  </si>
  <si>
    <t>Participacion digital</t>
  </si>
  <si>
    <t>Mencion generica a pagina web</t>
  </si>
  <si>
    <t>Plataformas digitales participativas, mecanismos remotos, votacion electronica</t>
  </si>
  <si>
    <t>Sin plataforma digital; solo 11% usa tramites online; 6% conoce Plan Emergencias</t>
  </si>
  <si>
    <t>Plataforma "Rengo Participa" tipo Panguipulli; app movil ciudadana (OE 6.6)</t>
  </si>
  <si>
    <t>Presupuesto participativo</t>
  </si>
  <si>
    <t>Enunciado sin desarrollo (art. 64)</t>
  </si>
  <si>
    <t>Porcentaje definido, metodologia, ciclo anual, priorizacion territorial</t>
  </si>
  <si>
    <t>Articulo declarativo sin operacionalizacion; sin porcentaje ni metodologia</t>
  </si>
  <si>
    <t>Institucionalizar con 2-3% presupuesto inversion; ciclo anual; priorizacion territorial</t>
  </si>
  <si>
    <t>M</t>
  </si>
  <si>
    <t>Participacion NNA</t>
  </si>
  <si>
    <t>No contemplada</t>
  </si>
  <si>
    <t>Mecanismos especificos para ninos, ninas y adolescentes (Ley 21.430)</t>
  </si>
  <si>
    <t>Exclusion total de NNA pese a que 54,41% se sienten inseguros y 0% evalua positivamente la comuna</t>
  </si>
  <si>
    <t>Critica</t>
  </si>
  <si>
    <t>Consejo Infantil Comunal; presupuesto participativo juvenil; consulta NNA en diseno espacios</t>
  </si>
  <si>
    <t>Mecanismos adicionales</t>
  </si>
  <si>
    <t>No contempla</t>
  </si>
  <si>
    <t>Cabildos ciudadanos, mesas barriales, defensoria comunal</t>
  </si>
  <si>
    <t>Sin cabildos, sin mesas barriales, sin defensoria; solo 49% dispuesto a participar</t>
  </si>
  <si>
    <t>Media</t>
  </si>
  <si>
    <t>Crear mesas barriales por zona; cabildos anuales temáticos; defensoria vecinal</t>
  </si>
  <si>
    <t>Evaluacion y vigencia</t>
  </si>
  <si>
    <t>Sin mecanismo de revision</t>
  </si>
  <si>
    <t>Evaluacion periodica participativa, vigencia temporal definida</t>
  </si>
  <si>
    <t>14+ anos sin evaluacion ni modificacion sustantiva</t>
  </si>
  <si>
    <t>Clausula de revision cada 4 anos; evaluacion participativa bienal; informe COSOC</t>
  </si>
  <si>
    <t>C. Experiencias de Referencia para Rengo (SUBDERE, 2024)</t>
  </si>
  <si>
    <t>Experiencia</t>
  </si>
  <si>
    <t>Comuna / Region</t>
  </si>
  <si>
    <t>Descripcion</t>
  </si>
  <si>
    <t>Aprendizaje para Rengo</t>
  </si>
  <si>
    <t>Panguipulli Participa</t>
  </si>
  <si>
    <t>Los Rios</t>
  </si>
  <si>
    <t>Plataforma web que permite a la ciudadania participar en proyectos y decisiones municipales, facilitando expresion de opiniones y toma de decisiones sobre iniciativas comunales.</t>
  </si>
  <si>
    <t>Modelo para plataforma digital "Rengo Participa" que resuelva barrera de distancia en sectores rurales (40% organizaciones) y supere el 11% de uso de tramites online.</t>
  </si>
  <si>
    <t>Valdivia Elige</t>
  </si>
  <si>
    <t>Programa de presupuestos participativos con 3 versiones consecutivas. Pagina web con alternativas de inversion y votacion popular. Ha institucionalizado la participacion ciudadana en decisiones de inversion.</t>
  </si>
  <si>
    <t>Referencia para operacionalizar art. 64 de la Ordenanza con porcentaje definido (2-3% presupuesto inversion), ciclo anual y priorizacion territorial.</t>
  </si>
  <si>
    <t>Banco Proyectos Comunitarios Huasco</t>
  </si>
  <si>
    <t>Atacama</t>
  </si>
  <si>
    <t>Mecanismo directo y vinculante para proposicion, formulacion, evaluacion y priorizacion de proyectos comunitarios. Vincula proyectos a fondos internos y externos.</t>
  </si>
  <si>
    <t>Modelo para articular las 330 organizaciones con la cartera BIP (1.182 registros, materialización cayó a 30,7%). Las organizaciones pueden coformular proyectos.</t>
  </si>
  <si>
    <t>Ordenanza Providencia</t>
  </si>
  <si>
    <t>Metropolitana</t>
  </si>
  <si>
    <t>Definicion amplia de sujetos de derecho: no solo vecinos residentes sino trabajadores, estudiantes y personas con vinculos permanentes. Criterios diferenciados de involucramiento.</t>
  </si>
  <si>
    <t>Referencia para incluir 3.217 migrantes (5,06%) y poblacion flotante (trabajadores, estudiantes UOH) en los mecanismos de participacion comunal.</t>
  </si>
  <si>
    <t>D. Datos Clave del Diagnostico Participativo</t>
  </si>
  <si>
    <t>Indicador</t>
  </si>
  <si>
    <t>Detalle</t>
  </si>
  <si>
    <t>330 organizaciones comunitarias vigentes</t>
  </si>
  <si>
    <t>10 tipos: Comites Vivienda (109), JJVV (92), Socioculturales (60), Deportivos (54), AM (8), APR (7), Ambientales (3), COSOC (1), Junta Vigilancia (1), Transporte (8)</t>
  </si>
  <si>
    <t>49 JJVV urbanas entrevistadas</t>
  </si>
  <si>
    <t>Cobertura total del area urbana: Libertad, Gregorio Araya, Las Torres, Abedules, Santa Laura, Europa, Los Maitenes y 42 mas</t>
  </si>
  <si>
    <t>21 localidades rurales levantadas</t>
  </si>
  <si>
    <t>Lo Cartagena, Rosario, Apalta, Popeta, Lo de Lobo, El Retiro, Esmeralda, Chanqueahue y 13 mas</t>
  </si>
  <si>
    <t>Encuesta ciudadana (n=119)</t>
  </si>
  <si>
    <t>70% inseguridad; 41% contaminacion; 29% perdida identidad; 27% desempleo; 24% falta espacios publicos; servicios 2,82-3,35/5</t>
  </si>
  <si>
    <t>Encuesta funcionarios (n=116)</t>
  </si>
  <si>
    <t>48% relevancia laboral; 52% desconoce flujogramas; 22% disputas; 43% desconoce Ley Karin; 82% reconoce brecha territorial</t>
  </si>
  <si>
    <t>Encuesta NNA (n=21)</t>
  </si>
  <si>
    <t>0% evaluacion positiva de Rengo; 24% violencia escolar recurrente; 38% consumo sustancias; 100% dispuesto a participar</t>
  </si>
  <si>
    <t>Ordenanza Participacion</t>
  </si>
  <si>
    <t>14+ anos sin modificar (Decreto 1100/2011); sin mecanismos digitales; sin NNA; sin integracion paritaria COSOC</t>
  </si>
  <si>
    <t>Participacion condicionada</t>
  </si>
  <si>
    <t>Solo 49% ciudadania dispuesta a participar sin condiciones; 67% NNA se siente escuchado "a veces"; gradiente: NNA 100% &gt; Funcionarios 78% &gt; Ciudadania 49%</t>
  </si>
  <si>
    <t>Fuente: Elaboracion Propia a partir de registros municipales 2026, Etnografia Social Tripartita, Encuestas (n=119, n=116, n=21) y analisis normativo - PLADECO Rengo 2025-2035</t>
  </si>
  <si>
    <t>Eje PLADECO</t>
  </si>
  <si>
    <t>Obj. Estrategico</t>
  </si>
  <si>
    <t>Area Programa</t>
  </si>
  <si>
    <t>Politica / Iniciativa</t>
  </si>
  <si>
    <t>Justificacion</t>
  </si>
  <si>
    <t>Indicadores</t>
  </si>
  <si>
    <t>Linea Base 2024</t>
  </si>
  <si>
    <t>Meta 2028</t>
  </si>
  <si>
    <t>Meta 2035</t>
  </si>
  <si>
    <t>Responsable</t>
  </si>
  <si>
    <t>Financiamiento</t>
  </si>
  <si>
    <t>ODS</t>
  </si>
  <si>
    <t>OE 1.1 Desarrollar Plan de Turismo Rural, Patrimonial y Enoturístico</t>
  </si>
  <si>
    <t>Cultura y Turismo</t>
  </si>
  <si>
    <t>Desarrollo del Turismo Local "De Santiago a Rengo: Alianza Comunal"</t>
  </si>
  <si>
    <t>Establecer alianzas turísticas con comunas vecinas y Santiago para posicionar a Rengo como destino de fin de semana, generando circuitos integrados y paquetes turísticos.</t>
  </si>
  <si>
    <t>Rengo se ubica a 114 km de Santiago con acceso por Ruta 5 y Metrotren reactivado (90 min), pero carece de alianzas turísticas formales pese a sus 4.829 empresas (1a en la región). El potencial enoturístico con 736 ha de viñas y 11.078 ha bajo riego se complementa con patrimonio centenario (fundación 1831). La ERD O'Higgins 2024-2036 promueve la asociatividad territorial para desarrollo turístico, y el ICD comunal evolucionó de 0,10 a 0,88 demostrando capacidad de gestión. El IDHC creció de 0,51 a 0,74, posicionando a Rengo como comuna con potencial de articulación intercomunal. Segun Censo INE 2024, la comuna alcanza 65.786 hab. con crecimiento de +20,6% desde 2001 y proyeccion de ~70.000 hacia 2032-2033. La MBHT registra BHT promedio de 0,537 con correlacion socioeconomica-BHT de r=0,831, evidenciando que el desarrollo turistico puede impulsar bienestar territorial (Diagnostico PLADECO 2025).</t>
  </si>
  <si>
    <t>Visitantes provenientes de alianzas; Ingresos turísticos; Alianzas formalizadas; Satisfacción visitantes</t>
  </si>
  <si>
    <t>0 alianzas turísticas intercomunales</t>
  </si>
  <si>
    <t>3 alianzas; 2.000 visitantes nuevos</t>
  </si>
  <si>
    <t>6 alianzas; 10.000 visitantes/año; $150M ingresos</t>
  </si>
  <si>
    <t>Oficina Turismo + SECPLAN</t>
  </si>
  <si>
    <t>Municipal + SERNATUR + GORE + Privados</t>
  </si>
  <si>
    <t>ODS 8, 11, 17</t>
  </si>
  <si>
    <t>Desarrollo del Turismo Patrimonial</t>
  </si>
  <si>
    <t>Crear y difundir rutas de turismo patrimonial que vinculen edificaciones históricas, sitios arqueológicos y tradiciones locales, promoviendo la conservación y el turismo cultural.</t>
  </si>
  <si>
    <t>Rengo posee patrimonio arquitectónico no catastrado: Templo Santa Ana (1882), estatua del Toqui Caupolicán (Nicanor Plaza), pileta de la Guerra del Pacífico, y arbolado histórico centenario de la Quinta Normal. El PRC lleva más de 16 años sin actualizar, dificultando la protección patrimonial en un territorio de 592 km2. El diagnóstico normativo identifica 8 vacíos críticos, con cobertura 0% en educación/cultura entre 65 instrumentos normativos. La encuesta ciudadana (n=119) señala pérdida de identidad como problema (29%), mientras el IDHC evolucionó de 0,51 a 0,74 sin dimensión cultural explícita. Segun Censo INE 2024, la comuna alcanza 65.786 hab. con crecimiento de +20,6% desde 2001 y proyeccion de ~70.000 hacia 2032-2033. La MBHT registra BHT promedio de 0,537 con correlacion socioeconomica-BHT de r=0,831, evidenciando que el desarrollo turistico puede impulsar bienestar territorial (Diagnostico PLADECO 2025).</t>
  </si>
  <si>
    <t>Rutas patrimoniales establecidas; Visitantes en rutas; Ingresos por turismo patrimonial; Estado de conservación de sitios</t>
  </si>
  <si>
    <t>0 rutas patrimoniales formales</t>
  </si>
  <si>
    <t>2 rutas; 1.500 visitantes</t>
  </si>
  <si>
    <t>5 rutas; 6.000 visitantes/año; 80% sitios en buen estado</t>
  </si>
  <si>
    <t>Municipal + CMN + SERNATUR + Fondart</t>
  </si>
  <si>
    <t>ODS 8, 11, 15</t>
  </si>
  <si>
    <t>Fomento al Turismo Local "Descubriendo Rengo"</t>
  </si>
  <si>
    <t>Promover el turismo local mediante campañas de difusión, alianzas estratégicas con operadores turísticos y creación de contenidos digitales que posicionen a Rengo como destino atractivo de la Región de O'Higgins.</t>
  </si>
  <si>
    <t>Rengo posee patrimonio natural y cultural subvalorado para sus 65.786 hab., pese a su cercanía a Santiago (114 km por Ruta 5) y conectividad por Metrotren (90 min). La encuesta ciudadana (n=119) evidencia que solo 29% percibe identidad fuerte, y el presupuesto municipal destina apenas 0,52% a cultura. Con 4.829 empresas (1a regional) y 736 ha de viñas, el enoturismo es una oportunidad no explotada que la ERD O'Higgins 2024-2036 prioriza como turismo sostenible en comunas intermedias, conforme a la Ley 20.423 de turismo y los ODS 8 y 11. Segun Censo INE 2024, la comuna alcanza 65.786 hab. con crecimiento de +20,6% desde 2001 y proyeccion de ~70.000 hacia 2032-2033. La MBHT registra BHT promedio de 0,537 con correlacion socioeconomica-BHT de r=0,831, evidenciando que el desarrollo turistico puede impulsar bienestar territorial (Diagnostico PLADECO 2025).</t>
  </si>
  <si>
    <t>Número de campañas realizadas; Visitantes anuales registrados; Ingresos por turismo local</t>
  </si>
  <si>
    <t>0 campañas turísticas comunales estructuradas</t>
  </si>
  <si>
    <t>3 campañas/año; 5.000 visitantes</t>
  </si>
  <si>
    <t>6 campañas/año; 15.000 visitantes; $200M ingresos turísticos</t>
  </si>
  <si>
    <t>Municipal + SERNATUR + GORE</t>
  </si>
  <si>
    <t>Parque Natural y Recreativo Huilquio de Rengo</t>
  </si>
  <si>
    <t>Diseñar y construir un parque natural con senderos, áreas de picnic, miradores y actividades al aire libre que integre naturaleza y recreación familiar en el sector Huilquio.</t>
  </si>
  <si>
    <t>Rengo registra solo 1,96 m2/hab de áreas verdes frente al estándar OMS de 9-10 m2/hab, con 60% de césped amarillento y 70% de plazas sin riego tecnificado. Para 65.786 habitantes esto representa un déficit crítico que impacta la salud de los 10.528 pacientes crónicos bajo control en PSCV. El BIP comunal registra 1.182 proyectos históricos con HHI de 0,41 (alta concentración) y $1.101 MM de inversión total, requiriendo diversificar hacia infraestructura verde que contribuya a mejorar el IDHC (0,51 a 0,74) conforme al ODS 15 y la Ley 18.695 art. 4 letra c. La cobertura vegetal urbana es de solo 13,1% (vs 82,0% rural), con 80% de especies arboreas exoticas, evidenciando necesidad de espacios verdes con flora nativa (Diagnostico Territorial MBHT 2025).</t>
  </si>
  <si>
    <t>Superficie habilitada (ha); Participación mensual; Actividades programadas</t>
  </si>
  <si>
    <t>0 ha de parque natural comunal</t>
  </si>
  <si>
    <t>Diseño terminado; 5 ha habilitadas</t>
  </si>
  <si>
    <t>15 ha operativas; 30.000 visitas/año</t>
  </si>
  <si>
    <t>L</t>
  </si>
  <si>
    <t>SECPLAN + DOM</t>
  </si>
  <si>
    <t>FNDR + GORE + Municipal</t>
  </si>
  <si>
    <t>ODS 3, 11, 15</t>
  </si>
  <si>
    <t>Promoción del Pueblo Gastronómico de Saberes e Identidades de la Cuenca del Río Claro</t>
  </si>
  <si>
    <t>Posicionar la gastronomía tradicional como atractivo turístico, creando una marca territorial gastronómica con ferias, rutas culinarias y certificación de productos locales.</t>
  </si>
  <si>
    <t>La cuenca del Río Claro posee tradición gastronómica campesina no valorizada, con 11.078 ha de superficie agrícola bajo riego y producción frutícola, vitivinícola y agroindustrial que sostiene 4.541 unidades productivas. La pobreza comunal de 5,4% (CASEN 2022) y la multidimensional de 13,6% pueden reducirse con emprendimientos gastronómicos vinculados a las 330 organizaciones comunitarias. La contracción agrícola de 3.950 ha (-26%) exige diversificación productiva que la OMIL puede articular con sus más de 500 colocaciones/año. La Ley 18.695 art. 4 letra f faculta al municipio para fomento productivo. La Etnografia Social 2025 con +50 entrevistas semiestructuradas confirma la desconexion entre patrimonio historico (fundacion 1831, integracion ferroviaria 1865) y percepcion ciudadana actual. Los 3.813 habitantes de pueblos originarios (5,99%, 89% mapuche) y 3.217 migrantes (5,06%) enriquecen la diversidad cultural que requiere visibilizacion (Censo INE 2024).</t>
  </si>
  <si>
    <t>Visitantes gastronómicos; Eventos culinarios realizados; Ingresos de emprendedores gastronómicos</t>
  </si>
  <si>
    <t>0 programas gastronómicos formales</t>
  </si>
  <si>
    <t>4 eventos/año; 50 emprendedores vinculados</t>
  </si>
  <si>
    <t>12 eventos/año; 100 emprendedores; marca territorial registrada</t>
  </si>
  <si>
    <t>Oficina Turismo + DIDECO</t>
  </si>
  <si>
    <t>Municipal + INDAP + SERCOTEC + GORE</t>
  </si>
  <si>
    <t>ODS 2, 8, 11</t>
  </si>
  <si>
    <t>Rutas Culturales y Naturales de Rengo</t>
  </si>
  <si>
    <t>Crear rutas turísticas culturales y naturales que integren patrimonio histórico, paisaje rural y biodiversidad de la cuenca del Río Claro, con señalética, mapas y plataforma digital.</t>
  </si>
  <si>
    <t>La comuna carece de rutas turísticas formalizadas pese a contar con el Río Claro (cuenca 921 km2, embalse 10 M m3) y patrimonio cultural centenario (fundación 1831, integración ferroviaria 1865). La encuesta NNA (n=21) arroja 0% evaluación positiva de la comuna, evidenciando desconexión generacional con el territorio. La pérdida de 3.950 ha agrícolas (-26% en 14 años) exige diversificación económica, mientras las 330 organizaciones comunitarias y 4.829 empresas pueden articular cadenas de valor turístico conforme al eje de desarrollo productivo de la ERD O'Higgins 2024-2036. Segun Censo INE 2024, la comuna alcanza 65.786 hab. con crecimiento de +20,6% desde 2001 y proyeccion de ~70.000 hacia 2032-2033. La MBHT registra BHT promedio de 0,537 con correlacion socioeconomica-BHT de r=0,831, evidenciando que el desarrollo turistico puede impulsar bienestar territorial (Diagnostico PLADECO 2025).</t>
  </si>
  <si>
    <t>Rutas creadas y señalizadas; Participación de visitantes; Impacto económico local; Satisfacción de usuarios</t>
  </si>
  <si>
    <t>0 rutas formalizadas</t>
  </si>
  <si>
    <t>3 rutas operativas; 2.000 visitantes</t>
  </si>
  <si>
    <t>6 rutas consolidadas; 8.000 visitantes/año</t>
  </si>
  <si>
    <t>Municipal + FNDR + SERNATUR</t>
  </si>
  <si>
    <t>OE 1.2 Fortalecer la Identidad Cultural y el Patrimonio Local</t>
  </si>
  <si>
    <t>Café Literario "Rengo: Entre Cafés y Libros"</t>
  </si>
  <si>
    <t>Crear un espacio de lectura, conversación y cultura en el centro de Rengo que fomente el hábito lector, la creación literaria y el encuentro ciudadano.</t>
  </si>
  <si>
    <t>La escolaridad promedio de Rengo es 11,1 años (vs 12,1 nacional) y solo 39% accede a educación superior, reflejando brechas de capital cultural que afectan el IDHC educativo (0,55 a 0,72). La encuesta ciudadana (n=119) califica servicios municipales entre 2,82 y 3,35 sobre 5, evidenciando demanda insatisfecha de espacios de encuentro. El presupuesto cultural representa apenas 0,52% del gasto municipal total, mientras las 4.829 empresas comunales (1a en región) podrían auspiciar actividades culturales. La Ley 20.500 sobre participación y la ERD O'Higgins 2024-2036 promueven acceso a cultura en comunas intermedias. Las 14.191 conexiones de internet fijas (5a de 33, SINIM 2024) y 91,4% de hogares con internet (Censo 2024) facilitan la difusion digital de actividades culturales, aunque solo 11% usa tramites online frecuentemente (Encuesta ciudadana n=119).</t>
  </si>
  <si>
    <t>Eventos literarios realizados; Participación mensual; Ingresos por actividades; Satisfacción de usuarios</t>
  </si>
  <si>
    <t>0 espacios literarios municipales</t>
  </si>
  <si>
    <t>1 café literario operativo; 12 eventos/año</t>
  </si>
  <si>
    <t>24 eventos/año; 2.000 participantes/año</t>
  </si>
  <si>
    <t>DIDECO + Biblioteca Municipal</t>
  </si>
  <si>
    <t>Municipal + CNCA + Fondart</t>
  </si>
  <si>
    <t>ODS 4, 11, 17</t>
  </si>
  <si>
    <t>Construcción del Centro Cultural en Av. El Rodeo</t>
  </si>
  <si>
    <t>Construir un centro cultural de referencia en Av. El Rodeo que albergue salas de exposición, talleres artísticos, auditorio y espacios de creación para artistas locales.</t>
  </si>
  <si>
    <t>Rengo carece de centro cultural comunal para sus 65.786 habitantes, mientras el presupuesto municipal destina solo 0,52% a cultura frente a 84,57% de gasto corriente. La encuesta ciudadana (n=119) prioriza cultura con 41% de menciones y la encuesta NNA (n=21) la posiciona con 52%, evidenciando demanda transversal. El BIP registra $137 MM en educación/cultura/patrimonio (12,5% de la inversión total de $1.101 MM), con HHI de 0,41 que refleja alta concentración sectorial. La construcción alinea con la Ley 18.695 art. 4 letra c sobre desarrollo comunitario y los ODS 4 y 11. La Etnografia Social 2025 con +50 entrevistas semiestructuradas confirma la desconexion entre patrimonio historico (fundacion 1831, integracion ferroviaria 1865) y percepcion ciudadana actual. Los 3.813 habitantes de pueblos originarios (5,99%, 89% mapuche) y 3.217 migrantes (5,06%) enriquecen la diversidad cultural que requiere visibilizacion (Censo INE 2024).</t>
  </si>
  <si>
    <t>Progreso de construcción (%); Actividades culturales programadas; Participación mensual</t>
  </si>
  <si>
    <t>0% avance; sin centro cultural comunal</t>
  </si>
  <si>
    <t>100% diseño; 30% construcción</t>
  </si>
  <si>
    <t>100% construido; 120 actividades/año; 15.000 asistentes/año</t>
  </si>
  <si>
    <t>FNDR + GORE + SUBDERE + Municipal</t>
  </si>
  <si>
    <t>Festival de los Saberes del Río Claro: Rengo y Rosario</t>
  </si>
  <si>
    <t>Realizar un festival anual que celebre las tradiciones, gastronomía, artesanía y cultura del territorio asociado al Río Claro, integrando localidades de Rengo y Rosario.</t>
  </si>
  <si>
    <t>La identidad cultural de Rengo vinculada al Río Claro se ha debilitado: 66% de los ciudadanos encuestados (n=119) percibe identidad débil o muy débil, frente a solo 29% que la considera fuerte. Las precipitaciones han caído 30-35% respecto a la década de 1970, agravando la crisis hídrica con demanda de 220,8 hm3/año (95,3% para riego). Las 330 organizaciones comunitarias vigentes demandan espacios de encuentro cultural según la etnografía social con más de 50 entrevistas, y el presupuesto cultural de solo 0,52% limita la oferta. La Ley 20.500 mandata participación comunitaria y la ERD O'Higgins 2024-2036 prioriza identidad territorial. El analisis MBHT muestra que la dimension cultural urbana alcanza solo 0,328 vs 0,082 rural, revelando una brecha que los festivales pueden ayudar a cerrar (Diagnostico Territorial 2025).</t>
  </si>
  <si>
    <t>Asistentes al festival; Satisfacción de participantes; Impacto económico local; Eventos culturales realizados</t>
  </si>
  <si>
    <t>0 festivales temáticos del Río Claro</t>
  </si>
  <si>
    <t>1 festival/año; 3.000 asistentes</t>
  </si>
  <si>
    <t>1 festival consolidado; 8.000 asistentes; $50M impacto económico</t>
  </si>
  <si>
    <t>DIDECO + Oficina Turismo</t>
  </si>
  <si>
    <t>Municipal + FNDR + GORE + Privados</t>
  </si>
  <si>
    <t>Promoción de la Identidad Cultural "Orgullo Renguino"</t>
  </si>
  <si>
    <t>Desarrollar campañas de comunicación y actividades que fortalezcan el sentido de pertenencia e identidad cultural de los habitantes de Rengo, destacando tradiciones, personajes y lugares emblemáticos.</t>
  </si>
  <si>
    <t>La migración alcanza 3.217 personas (5,06%, predominio venezolano 37%) y la urbanización acelerada (+20,6% desde 2001) transforman la identidad comunal de 65.786 habitantes. La encuesta ciudadana (n=119) revela que 66% percibe identidad débil o muy débil, con solo 29% percibiéndola fuerte, mientras 70% identifica la inseguridad como principal problema. Los 3.813 habitantes de pueblos originarios (5,99%, 89% mapuche) aportan diversidad cultural que requiere visibilización. La Ley 20.500 sobre participación ciudadana y la ERD O'Higgins 2024-2036 establecen la identidad territorial como eje transversal de desarrollo. La Etnografia Social 2025 con +50 entrevistas semiestructuradas confirma la desconexion entre patrimonio historico (fundacion 1831, integracion ferroviaria 1865) y percepcion ciudadana actual.</t>
  </si>
  <si>
    <t>Campañas de identidad realizadas; Participación ciudadana; Impacto en sentido de pertenencia</t>
  </si>
  <si>
    <t>0 campañas de identidad cultural</t>
  </si>
  <si>
    <t>2 campañas/año; 5.000 alcance</t>
  </si>
  <si>
    <t>4 campañas/año; 20.000 alcance; 70% reconocimiento</t>
  </si>
  <si>
    <t>DIDECO + Comunicaciones</t>
  </si>
  <si>
    <t>Municipal + CNCA</t>
  </si>
  <si>
    <t>ODS 11, 4, 17</t>
  </si>
  <si>
    <t>Recuperación de la Identidad Cultural "Rengo Nuestra Historia Comunal"</t>
  </si>
  <si>
    <t>Rescatar y preservar la identidad cultural e histórica de Rengo mediante proyectos de restauración patrimonial, registro de memoria oral y creación de archivo histórico comunal.</t>
  </si>
  <si>
    <t>La comuna carece de registro sistemático de su patrimonio histórico (fundación 1831, integración ferroviaria 1865, estatua Toqui Caupolicán de Nicanor Plaza). La medialuna y galpón cultural presentan deterioro crítico, y la ex estación ferroviaria tiene alto valor histórico pero está deteriorada. Las 330 organizaciones comunitarias son portadoras de saberes en riesgo de pérdida según la etnografía social con más de 50 entrevistas. El PRC lleva 16 años sin actualizar, dificultando la protección patrimonial, y el diagnóstico normativo identifica 0% de cobertura en educación/cultura entre sus 65 instrumentos normativos. La Etnografia Social 2025 con +50 entrevistas semiestructuradas confirma la desconexion entre patrimonio historico (fundacion 1831, integracion ferroviaria 1865) y percepcion ciudadana actual. Los 3.813 habitantes de pueblos originarios (5,99%, 89% mapuche) y 3.217 migrantes (5,06%) enriquecen la diversidad cultural que requiere visibilizacion (Censo INE 2024).</t>
  </si>
  <si>
    <t>Proyectos de preservación ejecutados; Espacios patrimoniales restaurados; Participación comunitaria</t>
  </si>
  <si>
    <t>0 proyectos de preservación patrimonial</t>
  </si>
  <si>
    <t>3 proyectos; 2 espacios restaurados</t>
  </si>
  <si>
    <t>8 proyectos; 5 espacios restaurados; archivo digital operativo</t>
  </si>
  <si>
    <t>DIDECO + SECPLAN</t>
  </si>
  <si>
    <t>Municipal + CNCA + Fondart + CMN</t>
  </si>
  <si>
    <t>OE 1.2 Inventario y proteccion patrimonial</t>
  </si>
  <si>
    <t>R7: Ordenanza de Proteccion del Patrimonio Cultural y Natural</t>
  </si>
  <si>
    <t>Crear ordenanza que proteja patrimonio agricola, vitivinicola, arquitectonico e inmaterial de Rengo.</t>
  </si>
  <si>
    <t>Sin registro sistematico de patrimonio pese a fundacion 1831. Medialuna y galpon cultural deteriorados. Ex estacion ferroviaria deteriorada. 66% identidad debil. 0% NNA evalua positivamente la comuna. Presupuesto cultura 0,52%.</t>
  </si>
  <si>
    <t>Ordenanza patrimonial; catalogo</t>
  </si>
  <si>
    <t>Sin ordenanza patrimonial</t>
  </si>
  <si>
    <t>Ordenanza + catalogo completo</t>
  </si>
  <si>
    <t>Evaluacion estado cada 3 anos</t>
  </si>
  <si>
    <t>DIDECO + Cultura + Juridica</t>
  </si>
  <si>
    <t>Municipal + CMN</t>
  </si>
  <si>
    <t>ODS 11</t>
  </si>
  <si>
    <t>Recuperacion y Puesta en Valor del Teatro Municipal de Rengo</t>
  </si>
  <si>
    <t>Restaurar y modernizar el historico Teatro Municipal como espacio de produccion artistica, eventos culturales y encuentro comunitario, preservando valor patrimonial e incorporando tecnologia moderna y accesibilidad universal.</t>
  </si>
  <si>
    <t>Teatro Municipal: hito patrimonial citado en cronicas (Soto Pizarro, 2010) junto a Hotel Olimpo y Plazoleta Prat. BIP registra 10 registros y 8 anos entre Perfil-Diseno sin materializar: proyecto emblematico rezagado. 66% ciudadania percibe identidad debil (n=119). 0% NNA evalua positivamente Rengo (n=21). Cultura: 0,52% presupuesto. (Fuente: BIP/SNI 2025; Encuesta ciudadana n=119; Etnografia Social 2025)</t>
  </si>
  <si>
    <t>Progreso restauracion %; actividades/ano; asistentes</t>
  </si>
  <si>
    <t>Teatro deteriorado; 10 registros BIP sin materializacion</t>
  </si>
  <si>
    <t>Diseno definitivo + inicio restauracion</t>
  </si>
  <si>
    <t>Teatro operativo + 50 eventos/ano + 10.000 asistentes</t>
  </si>
  <si>
    <t>SECPLAN + DIDECO Cultura</t>
  </si>
  <si>
    <t>FNDR + CNCA + Municipal</t>
  </si>
  <si>
    <t>OE 1.3 Ampliar infraestructura deportiva</t>
  </si>
  <si>
    <t>Deportes y Bienestar</t>
  </si>
  <si>
    <t>Parques Elige Vivir Sano: Circuitos Deportivos en Sectores Rurales</t>
  </si>
  <si>
    <t>Extender Elige Vivir Sano a localidades rurales (Popeta, Lo Cartagena, Chanqueahue, El Retiro) con estaciones de ejercicio adaptadas y monitores comunitarios.</t>
  </si>
  <si>
    <t>82% funcionarios reconoce brecha territorial. Rural: 25,3% inversion BIP ($113 MM vs $987 MM urbano). Accesibilidad deportiva rural: 0,356 vs 0,582 urbano. 500+ jugadores sin infraestructura adecuada. La brecha urbano-rural en equipamiento deportivo es la mas profunda del diagnostico territorial. (Fuente: SINIM 2024; BIP 2025; MBHT-MINVU)</t>
  </si>
  <si>
    <t>N circuitos rurales; localidades cubiertas; participacion</t>
  </si>
  <si>
    <t>0 circuitos rurales</t>
  </si>
  <si>
    <t>4 localidades con circuitos</t>
  </si>
  <si>
    <t>10 localidades + monitores permanentes</t>
  </si>
  <si>
    <t>DIDECO + Depto. Deportes</t>
  </si>
  <si>
    <t>MINDEP + FNDR + Municipal</t>
  </si>
  <si>
    <t>ODS 3, 10, 11</t>
  </si>
  <si>
    <t>Parques Elige Vivir Sano: Infraestructura Deportiva Comunitaria</t>
  </si>
  <si>
    <t>Implementar programa Elige Vivir Sano en plazas y espacios publicos de Rengo con circuitos de maquinas de ejercicio, senaletizacion deportiva, estaciones de calistenia y zonas de actividad fisica al aire libre para todas las edades, con enfasis en adultos mayores y PcD.</t>
  </si>
  <si>
    <t>Rengo registra 1,96 m2/hab de areas verdes (OMS 9-10). Los 8.796 AM (IE=72,1) y 7.256 PcD (12,1%) requieren espacios accesibles. PSCV: 10.528 pacientes cronicos (16,5%). Encuesta ciudadana prioriza deporte (41%). El programa MINDEP ofrece cofinanciamiento para infraestructura deportiva comunitaria. (Fuente: SINIM 2024; Censo INE 2024; DEIS 2024)</t>
  </si>
  <si>
    <t>N parques Elige Vivir Sano; m2 infraestructura deportiva; participacion mensual</t>
  </si>
  <si>
    <t>0 parques Elige Vivir Sano</t>
  </si>
  <si>
    <t>3 parques (Rengo, Rosario, Esmeralda)</t>
  </si>
  <si>
    <t>6 parques + cobertura rural</t>
  </si>
  <si>
    <t>ODS 3, 11</t>
  </si>
  <si>
    <t>OE 1.3 Fomentar la Recreación y Vida Sana en la Comunidad</t>
  </si>
  <si>
    <t>Deportes</t>
  </si>
  <si>
    <t>Calistenia Universal en Áreas Verdes</t>
  </si>
  <si>
    <t>Instalar espacios de calistenia inclusivos y accesibles en áreas verdes y plazas, diseñados para personas con y sin discapacidad, promoviendo ejercicio gratuito al aire libre.</t>
  </si>
  <si>
    <t>Los 7.256 PcD (12,1%) de Rengo carecen de espacios deportivos adaptados en las áreas verdes comunales, vulnerando la Ley 20.422 de inclusión. Con solo 1,96 m2/hab de áreas verdes y 50% de plazas periféricas sin cobertura vegetal (suelo expuesto), se requiere equipamiento para maximizar espacios existentes. El 80% de especies arbóreas son exóticas, necesitando diseño paisajístico integral con especies nativas. Los 10.528 pacientes crónicos del PSCV y la vulnerabilidad FONASA A+B de 62,5% evidencian la necesidad de infraestructura deportiva preventiva accesible, conforme al ODS 10. La brecha entre los 441 PcD registrados en SENADIS y los 7.256 del Censo 2024 (12,1%) evidencia subregistro que demanda infraestructura inclusiva en toda la comuna (Censo INE 2024 vs SENADIS).</t>
  </si>
  <si>
    <t>Espacios de calistenia adaptados instalados; Participación de usuarios; Indicadores de inclusión</t>
  </si>
  <si>
    <t>0 espacios de calistenia inclusivos</t>
  </si>
  <si>
    <t>3 espacios instalados; 200 usuarios/semana</t>
  </si>
  <si>
    <t>8 espacios; 500 usuarios/semana; 100% accesibilidad universal</t>
  </si>
  <si>
    <t>Depto. Deportes + SECPLAN</t>
  </si>
  <si>
    <t>Municipal + FNDR + SENADIS</t>
  </si>
  <si>
    <t>Campeonato Escolar Anual: Futuros Talentos Deportivos</t>
  </si>
  <si>
    <t>Organizar un campeonato deportivo anual interescolar que promueva la competencia sana, detecte talentos y fortalezca la convivencia entre establecimientos educacionales de Rengo.</t>
  </si>
  <si>
    <t>La violencia escolar recurrente afecta al 24% de NNA (encuesta n=21) y la tasa de asistencia en educación media es 88,4% (11,6% deserción), requiriendo estrategias de retención y convivencia. El DAEM registra más de 170 sumarios activos por problemas de convivencia laboral, reflejando cultura organizacional con impacto en establecimientos. Los 27 establecimientos municipales (84,4% del total) atienden 9.766 estudiantes con logro PAES de 89,4% y brecha de 12,20 pp frente a subvencionados. El deporte escolar alinea con el ODS 4 y la Ley 20.710 de educación como derecho social. La cobertura municipal se recupero de 64,32% (minimo historico 2011) a 75,41% (2024), ganando +11,09 pp, evidenciando que la retencion escolar responde a estrategias integrales que incluyen deporte (SINIM 2024).</t>
  </si>
  <si>
    <t>Estudiantes participantes; Escuelas integradas; Talentos detectados; Índice de convivencia escolar</t>
  </si>
  <si>
    <t>1 campeonato informal; 300 estudiantes</t>
  </si>
  <si>
    <t>1 campeonato formal/año; 1.000 estudiantes; 15 escuelas</t>
  </si>
  <si>
    <t>1 campeonato consolidado; 2.000 estudiantes; 20 escuelas; programa talentos</t>
  </si>
  <si>
    <t>Depto. Deportes + DAEM</t>
  </si>
  <si>
    <t>Municipal + IND + MINEDUC</t>
  </si>
  <si>
    <t>ODS 3, 4, 16</t>
  </si>
  <si>
    <t>Escuelas Deportivas de Verano e Invierno</t>
  </si>
  <si>
    <t>Implementar programas deportivos estacionales durante vacaciones de verano e invierno para niños y jóvenes, ofreciendo actividades recreativas, formativas y de convivencia.</t>
  </si>
  <si>
    <t>La tasa de asistencia media es 88,4% (11,6% deserción) y se agrava durante vacaciones sin actividades estructuradas para los 9.766 alumnos municipales. La encuesta NNA (n=21) muestra 0% de evaluación positiva de la comuna como lugar para vivir, con 48% deseando cafeterías/cines y 19% centros juveniles. Los espacios deseados por NNA incluyen piscinas (14%), canchas (5%) y centros juveniles (19%), evidenciando demanda insatisfecha. Los delitos de drogas aumentaron 440%, requiriendo alternativas de ocupación del tiempo libre conforme al Plan Comunal de Seguridad 2025. Los delitos de armas crecieron 308% (de 13 a 53 casos), complementando el aumento en vida (+126%), drogas (+440%) y robos violentos (+107%). Los adultos mayores victimas 65+ crecieron +554% en vida y +567% en robos, siendo grupo mas vulnerable (Carabineros 2024).</t>
  </si>
  <si>
    <t>Participantes por temporada; Actividades ofrecidas; Satisfacción de padres y participantes</t>
  </si>
  <si>
    <t>1 escuela de verano informal; 100 participantes</t>
  </si>
  <si>
    <t>2 escuelas (verano/invierno); 400 participantes</t>
  </si>
  <si>
    <t>2 escuelas consolidadas; 800 participantes; 10 disciplinas; 90% satisfacción</t>
  </si>
  <si>
    <t>Depto. Deportes + DIDECO</t>
  </si>
  <si>
    <t>Municipal + IND + Privados</t>
  </si>
  <si>
    <t>ODS 3, 4, 10</t>
  </si>
  <si>
    <t>Eventos Comunitarios en Espacios Deportivos "Teatro y Cine al Aire Libre"</t>
  </si>
  <si>
    <t>Realizar funciones de teatro y cine al aire libre en recintos deportivos y plazas, ampliando el uso de infraestructura existente y democratizando el acceso a la cultura.</t>
  </si>
  <si>
    <t>La encuesta NNA (n=21) arroja 0% de evaluación positiva de la comuna como lugar para vivir, y 24% reporta violencia escolar recurrente, requiriendo alternativas de ocupación del tiempo libre. Las áreas verdes de 1,96 m2/hab con 60% de césped amarillento necesitan usos complementarios para activar espacios subutilizados. El 48% de NNA identifica la violencia escolar como problema percibido y 38% señala consumo de alcohol/drogas en su entorno. Estas actividades culturales contribuyen a la prevención situacional del delito conforme al Plan Comunal de Seguridad 2025 y la Ley 20.500. La MBHT identifica 21 manzanas criticas con BHT&lt;0,45 donde viven 4.136 personas (7,1%), sectores donde la oferta cultural gratuita tiene mayor impacto en bienestar (Diagnostico PLADECO 2025).</t>
  </si>
  <si>
    <t>Eventos de teatro y cine realizados; Participación por evento; Satisfacción; Uso de espacios deportivos para cultura</t>
  </si>
  <si>
    <t>0 eventos culturales regulares en espacios deportivos</t>
  </si>
  <si>
    <t>12 eventos/año; 300 asistentes promedio</t>
  </si>
  <si>
    <t>24 eventos/año; 500 asistentes promedio; 6 recintos utilizados</t>
  </si>
  <si>
    <t>ODS 4, 11, 16</t>
  </si>
  <si>
    <t>Fútbol en Rengo: Torneo Regional</t>
  </si>
  <si>
    <t>Organizar un torneo regional de fútbol amateur que integre clubes locales y visitantes, fortaleciendo la tradición futbolística de Rengo.</t>
  </si>
  <si>
    <t>El fútbol amateur es la principal actividad deportiva en Rengo con múltiples clubes (300 socios, 500 jugadores reportados) arraigados en las 330 organizaciones comunitarias. Los delitos contra la vida aumentaron 126% y las infracciones a ley de drogas 440%, requiriendo estrategias de cohesión social para 65.786 habitantes. La encuesta ciudadana (n=119) identifica inseguridad como principal problema (70%), y el deporte es herramienta de prevención situacional del delito. El BIP registra solo $29 MM en deporte (2,6% de $1.101 MM de inversión total), evidenciando subinversión en un sector con alto impacto social. Los delitos de armas crecieron 308% (de 13 a 53 casos), complementando el aumento en vida (+126%), drogas (+440%) y robos violentos (+107%). Los adultos mayores victimas 65+ crecieron +554% en vida y +567% en robos, siendo grupo mas vulnerable (Carabineros 2024).</t>
  </si>
  <si>
    <t>Equipos participantes; Asistentes a partidos; Impacto económico local</t>
  </si>
  <si>
    <t>Torneos informales sin apoyo municipal</t>
  </si>
  <si>
    <t>1 torneo formal/año; 20 equipos; 2.000 espectadores</t>
  </si>
  <si>
    <t>1 torneo consolidado; 32 equipos; 5.000 espectadores; $40M impacto</t>
  </si>
  <si>
    <t>Depto. Deportes</t>
  </si>
  <si>
    <t>ODS 3, 8, 11</t>
  </si>
  <si>
    <t>Rengo en Movimiento: Domingos Deportivos para Todos</t>
  </si>
  <si>
    <t>Programar eventos deportivos y recreativos los domingos en plazas y parques, incluyendo actividades para todas las edades y capacidades, promoviendo vida sana y cohesión social.</t>
  </si>
  <si>
    <t>Los 8.796 adultos mayores (IE=72,1, aumento desde 53,8 en 2017) y 7.256 PcD (12,1%) requieren espacios de actividad física accesible conforme a la Ley 20.422 de inclusión. El PSCV registra 10.528 pacientes crónicos bajo control (16,5% de la población), con predominio femenino de 61,9%, y las áreas verdes de 1,96 m2/hab limitan opciones recreativas para los 65.786 habitantes. La vulnerabilidad en salud FONASA A+B alcanza 62,5%, correlacionando pobreza con sedentarismo. El ranking SUBDERE (11° de 33) exige innovar en servicios comunitarios para mejorar el logro del 58,4%. La red de salud realiza 91.606 consultas medicas APS (3a regional, promedio 43.894) y 520.000 prestaciones anuales (+176% desde 2012). Los ESPA alcanzan 4.535 (+152% sobre promedio regional), demostrando capacidad de atencion que requiere consolidacion (SINIM 2024).</t>
  </si>
  <si>
    <t>Eventos dominicales realizados; Participación promedio; Diversidad etaria de participantes; Satisfacción</t>
  </si>
  <si>
    <t>0 programas deportivos dominicales regulares</t>
  </si>
  <si>
    <t>40 domingos/año; 200 participantes promedio</t>
  </si>
  <si>
    <t>48 domingos/año; 500 participantes promedio</t>
  </si>
  <si>
    <t>Municipal + IND + Depto. Salud</t>
  </si>
  <si>
    <t>Rugby en Rengo: Torneo Regional</t>
  </si>
  <si>
    <t>Organizar un torneo regional de rugby que promueva esta disciplina emergente, fomentando valores de respeto, trabajo en equipo y vida sana.</t>
  </si>
  <si>
    <t>El rugby es disciplina emergente en O'Higgins sin espacios de competencia formal en Rengo, comuna con 65.786 habitantes y creciente demanda deportiva juvenil. La encuesta NNA (n=21) reporta 24% de violencia escolar recurrente y 48% identifica inseguridad como problema, mientras el deporte colectivo es herramienta probada de convivencia. El 38% de NNA señala consumo de alcohol/drogas en su entorno, con infracciones a ley de drogas que aumentaron 440%. La Ley 19.712 del Deporte y los ODS 3 y 16 fundamentan el uso del deporte como estrategia de prevención y cohesión social comunitaria. La tasa de crimen organizado de O'Higgins es 52 por 100.000 hab. (2a mas baja del pais vs 437 nacional), pero los delitos contra la vida crecieron 126%, haciendo del deporte una estrategia preventiva clave (MIPP 2024).</t>
  </si>
  <si>
    <t>Equipos participantes; Participación de jugadores; Impacto en convivencia</t>
  </si>
  <si>
    <t>0 torneos de rugby en Rengo</t>
  </si>
  <si>
    <t>1 torneo/año; 8 equipos</t>
  </si>
  <si>
    <t>1 torneo consolidado; 12 equipos; liga local operativa</t>
  </si>
  <si>
    <t>Torneo Regional de Básquetbol</t>
  </si>
  <si>
    <t>Organizar un torneo regional de básquetbol en Rengo que posicione a la comuna como sede deportiva, generando actividad económica y promoviendo la disciplina.</t>
  </si>
  <si>
    <t>Rengo no cuenta con torneos deportivos regionales regulares pese a tener 4.829 empresas (1a en región) que podrían patrocinar eventos, y una ubicación estratégica a 23 km de Rancagua por Ruta 5. La OMIL realiza más de 500 colocaciones/año, pero el turismo deportivo es una fuente de empleo inexplorada para reducir la pobreza de 5,4%. La encuesta ciudadana (n=119) prioriza empleo con 27% de menciones y deporte con 41%. El IDHC evolucionó de 0,51 a 0,74, posicionando a Rengo como sede potencial conforme a la ERD O'Higgins 2024-2036 y el ODS 8. La estructura empresarial muestra 953 unidades en manufactura (1a regional, +256%), 834 en comercio (1a, +337%) y 714 en construccion (1a, +303%). Los 12.453 trabajadores en microempresas (78,3%) evidencian predominio de empleo en pequena escala (SINIM 2024).</t>
  </si>
  <si>
    <t>Equipos participantes; Espectadores; Impacto económico estimado</t>
  </si>
  <si>
    <t>0 torneos regionales de básquetbol</t>
  </si>
  <si>
    <t>1 torneo/año; 16 equipos; 1.000 espectadores</t>
  </si>
  <si>
    <t>1 torneo consolidado; 24 equipos; 3.000 espectadores; $30M impacto</t>
  </si>
  <si>
    <t>Viviendo la Vida en Rengo: Actividad Física para Adultos Mayores</t>
  </si>
  <si>
    <t>Implementar programas de actividad física adaptada para adultos mayores, incluyendo gimnasia, yoga, caminatas guiadas y talleres de vida saludable en sedes comunitarias.</t>
  </si>
  <si>
    <t>Los 8.796 adultos mayores de Rengo (IE=72,1, aumento de 34% desde 2017) enfrentan riesgos de enfermedades crónicas: el PSCV registra 10.528 pacientes bajo control, con 61,9% mujeres y 38,1% hombres. La evaluación funcional de 2.287 adultos mayores muestra 42,8% con algún grado de riesgo/dependencia y 170 personas con dependencia grave. La tasa de mortalidad comunal (7,8 por 1.000) supera el promedio regional (7,5) y nacional (6,7), agravada por la vulnerabilidad FONASA A+B del 62,5%. La Ley 19.828 de SENAMA y el ODS 3 fundamentan intervenciones preventivas para esta población creciente. La red de salud realiza 91.606 consultas medicas APS (3a regional, promedio 43.894) y 520.000 prestaciones anuales (+176% desde 2012). Los ESPA alcanzan 4.535 (+152% sobre promedio regional), demostrando capacidad de atencion que requiere consolidacion (SINIM 2024).</t>
  </si>
  <si>
    <t>Programas implementados; Participación mensual adultos mayores; Indicadores de salud (presión, IMC)</t>
  </si>
  <si>
    <t>2 programas esporádicos; 80 participantes</t>
  </si>
  <si>
    <t>6 programas permanentes; 400 participantes</t>
  </si>
  <si>
    <t>10 programas; 800 participantes; 20% mejora indicadores salud</t>
  </si>
  <si>
    <t>Depto. Deportes + Depto. Salud</t>
  </si>
  <si>
    <t>Municipal + IND + SENAMA</t>
  </si>
  <si>
    <t>OE 1.4 Ampliar la Oferta Deportiva y la Infraestructura Asociada</t>
  </si>
  <si>
    <t>Alianzas Deportivas con Entidades "Bienvenidos al Rengo del Deporte"</t>
  </si>
  <si>
    <t>Establecer convenios con federaciones deportivas, universidades, empresas y clubes para ampliar la oferta deportiva, captar recursos y profesionalizar la gestión del deporte comunal.</t>
  </si>
  <si>
    <t>El Departamento de Deportes opera con recursos limitados: el presupuesto municipal destina 84,57% a gasto corriente y la dependencia de transferencias alcanza 75,2%, con ingresos propios de solo 9%. Las 4.829 empresas comunales (1a en región) representan potencial de alianzas público-privadas que la OMIL puede facilitar. La encuesta funcionaria (n=116) prioriza fortalecer coordinación interdepartamental (45%) y modernizar procesos (62%). La construcción de sede UOH en Rengo abre oportunidades de convenio académico-deportivo conforme a la Ley 19.712 del Deporte. La estructura empresarial muestra 953 unidades en manufactura (1a regional, +256%), 834 en comercio (1a, +337%) y 714 en construccion (1a, +303%). Los 12.453 trabajadores en microempresas (78,3%) evidencian predominio de empleo en pequena escala (SINIM 2024).</t>
  </si>
  <si>
    <t>Alianzas formalizadas; Recursos obtenidos por alianzas; Impacto en oferta deportiva</t>
  </si>
  <si>
    <t>0 convenios deportivos formales</t>
  </si>
  <si>
    <t>5 alianzas; $50M en recursos externos</t>
  </si>
  <si>
    <t>12 alianzas; $200M en recursos; 5 nuevas disciplinas</t>
  </si>
  <si>
    <t>Municipal + IND + Privados + Universidades</t>
  </si>
  <si>
    <t>ODS 3, 17</t>
  </si>
  <si>
    <t>Apoyando las Disciplinas: Mejora Infraestructura Deportiva</t>
  </si>
  <si>
    <t>Mejorar y mantener las instalaciones deportivas existentes con reparaciones, equipamiento actualizado, iluminación y accesibilidad universal.</t>
  </si>
  <si>
    <t>Las instalaciones deportivas comunales presentan deterioro generalizado: el gimnasio de Rosario tiene conservación deficiente, la medialuna y galpón están en abandono crítico, y el diagnóstico de 57+ puntos georreferenciados confirma patrón de mantención deficiente. Los 7.256 PcD (12,1%) requieren accesibilidad universal en recintos deportivos conforme a la Ley 20.422. La ejecución de inversiones cayó de 76% (2018) a 32,2% (2024), una caída de 43,8 pp que evidencia subejecución de recursos estimados en MM $3.526 anuales. El ranking SUBDERE (11° de 33) cayó de 80% a 58,4% de logro, requiriendo mejora en servicios. El patrimonio municipal paso de -$1.460M (2012) a +$9.400M (2023, +$10.860M), con transparencia CPLT mejorando de 16,41% a 97,89%. Sin embargo, el gasto corriente de 84,57% y gasto en personal de 74,0% (sobre umbral CGR de 70%) limitan inversion (SINIM 2024).</t>
  </si>
  <si>
    <t>Instalaciones mejoradas; Disciplinas beneficiadas; Satisfacción de usuarios</t>
  </si>
  <si>
    <t>Sin catastro de estado de instalaciones</t>
  </si>
  <si>
    <t>Catastro completo; 5 instalaciones mejoradas</t>
  </si>
  <si>
    <t>15 instalaciones mejoradas; 100% con accesibilidad; 85% satisfacción</t>
  </si>
  <si>
    <t>Depto. Deportes + DOM</t>
  </si>
  <si>
    <t>Municipal + FNDR + IND</t>
  </si>
  <si>
    <t>El Guerrero de Rengo: Complejo Deportivo Multifuncional</t>
  </si>
  <si>
    <t>Diseñar y construir un complejo deportivo multifuncional con canchas techadas, gimnasio, piscina temperada y salas multiuso para la práctica deportiva de toda la comunidad.</t>
  </si>
  <si>
    <t>Rengo carece de complejo deportivo comunal para 65.786 habitantes, obligando a deportistas a trasladarse a Rancagua (23 km). Las áreas verdes de 1,96 m2/hab incluyen escasas instalaciones deportivas de calidad, con el gimnasio de Rosario en conservación deficiente y la medialuna en abandono crítico. La encuesta ciudadana (n=119) prioriza deporte y recreación con 41% de menciones, y el BIP registra solo 85 proyectos deportivos (7,2%) con $29 MM de inversión (2,6%). La ejecución de inversiones cayó de 76% (2018) a 32,2% (2024), requiriendo proyectos emblemáticos que reviertan la tendencia. La tasa de materializacion BIP cayo de 49,4% (2006-2013) a 30,7% (2014-2025), con brecha de $349 MM entre formulado y ejecutado, requiriendo proyectos emblematicos con alta visibilidad (Analisis BIP 2025).</t>
  </si>
  <si>
    <t>Progreso de construcción (%); Usuarios mensuales; Satisfacción de usuarios</t>
  </si>
  <si>
    <t>0% avance; sin complejo deportivo comunal</t>
  </si>
  <si>
    <t>100% construido; 3.000 usuarios/mes; 85% satisfacción</t>
  </si>
  <si>
    <t>SECPLAN + DOM + Depto. Deportes</t>
  </si>
  <si>
    <t>FNDR + GORE + IND + Municipal</t>
  </si>
  <si>
    <t>ODS 3, 9, 11</t>
  </si>
  <si>
    <t>FONDEPORTE: Becas para Atletas de Alto Rendimiento</t>
  </si>
  <si>
    <t>Otorgar becas municipales a atletas destacados de Rengo para financiar entrenamiento, competencias regionales y nacionales, equipamiento y apoyo técnico.</t>
  </si>
  <si>
    <t>Rengo carece de sistema de becas deportivas pese a contar con clubes con 300 socios y 500 jugadores reportados en una comuna con 4.829 empresas (1a en región) que podrían cofinanciar. La pobreza de 5,4% (CASEN 2022) y multidimensional de 13,6% dificultan que familias financien carreras deportivas. La encuesta NNA (n=21) identifica deportes como actividad deseada por 43%, y la escolaridad de 11,1 años limita opciones de movilidad social. La Ley 19.712 del Deporte establece responsabilidad municipal en fomento deportivo conforme al ODS 10 de reducción de desigualdades. El retiro en educacion media bajo a 1,51% (reduccion 69% desde 4,89% en 2009), evidenciando mejora en retencion. La cobertura municipal recupero de 64,32% (2011) a 75,41% (2024), mientras la matricula total comunal crecio 5,9% (de 12.752 a 13.510; SINIM 2024).</t>
  </si>
  <si>
    <t>Becas otorgadas; Desempeño competitivo de becados; Talentos en selecciones regionales/nacionales</t>
  </si>
  <si>
    <t>0 becas deportivas municipales</t>
  </si>
  <si>
    <t>10 becas/año; 3 atletas en selecciones</t>
  </si>
  <si>
    <t>20 becas/año; 8 atletas en selecciones; 2 atletas nivel nacional</t>
  </si>
  <si>
    <t>Depto. Deportes + DAF</t>
  </si>
  <si>
    <t>Municipal + IND + FONDEPORTE</t>
  </si>
  <si>
    <t>Formulación de Proyectos "Construir el Deporte en Rengo"</t>
  </si>
  <si>
    <t>Desarrollar una cartera de proyectos de infraestructura deportiva con diseños, estudios de factibilidad y postulación a fondos sectoriales y regionales.</t>
  </si>
  <si>
    <t>La falta de proyectos formulados impide acceder a FNDR e IND: el BIP registra solo 85 proyectos deportivos (7,2% del total) con $29 MM de inversión (2,6% de $1.101 MM). El ranking SUBDERE ubica a Rengo en puesto 11 de 33 municipalidades, habiendo caído de 80% a 58,4% de logro con el nuevo instrumento de 26 ámbitos. La ejecución de inversiones municipales descendió a 32,2% en 2024, con recursos no ejecutados estimados en MM $3.526 anuales. La tasa de materialización BIP cayó a 30,7% (2014-2025), con 257 repostulaciones representando 61,2% del total. La captacion de transferencias es de solo 6,28% vs promedio de 13,89%, representando oportunidad no aprovechada que la formulacion de proyectos deportivos ante FNDR e IND puede capturar (SINIM 2024).</t>
  </si>
  <si>
    <t>Proyectos aprobados por fondos; Espacios deportivos construidos; Participación de beneficiarios</t>
  </si>
  <si>
    <t>0 proyectos deportivos en cartera FNDR</t>
  </si>
  <si>
    <t>3 proyectos formulados; 1 aprobado</t>
  </si>
  <si>
    <t>8 proyectos formulados; 5 aprobados y ejecutados</t>
  </si>
  <si>
    <t>SECPLAN + Depto. Deportes</t>
  </si>
  <si>
    <t>Municipal + FNDR + IND + GORE</t>
  </si>
  <si>
    <t>ODS 9, 11, 17</t>
  </si>
  <si>
    <t>Polideportivo de Rosario</t>
  </si>
  <si>
    <t>Construir un polideportivo en la localidad de Rosario con canchas multiuso, gimnasio y espacios de recreación para descentralizar la oferta deportiva comunal.</t>
  </si>
  <si>
    <t>Rosario (12.000 hab aprox.) carece de infraestructura deportiva adecuada; el gimnasio municipal presenta conservación deficiente con falta de vidrios y deterioro exterior. El BIP muestra concentración territorial extrema: Rosario tiene solo 72 proyectos ($8 MM) vs Rengo Centro con 776 ($960 MM, 87,2%). El deficit habitacional de 5,9% (1.401 unidades) se acompaña de escaso equipamiento comunitario, y la encuesta funcionaria (n=116) reconoce la brecha territorial con 82% de consenso. La Ley 18.695 art. 4 letra c sobre desarrollo comunitario fundamenta la descentralización de inversiones conforme al ODS 10. El patrimonio municipal paso de -$1.460M (2012) a +$9.400M (2023, +$10.860M), con transparencia CPLT mejorando de 16,41% a 97,89%. Sin embargo, el gasto corriente de 84,57% y gasto en personal de 74,0% (sobre umbral CGR de 70%) limitan inversion (SINIM 2024).</t>
  </si>
  <si>
    <t>Progreso de construcción (%); Actividades deportivas programadas; Participación mensual</t>
  </si>
  <si>
    <t>0% avance; sin polideportivo en Rosario</t>
  </si>
  <si>
    <t>100% diseño; 20% construcción</t>
  </si>
  <si>
    <t>100% construido; 1.500 usuarios/mes; 8 disciplinas</t>
  </si>
  <si>
    <t>Rengo +Activo y +Vivo: Ciclovías y Espacios para Running</t>
  </si>
  <si>
    <t>Diseñar y construir ciclovías urbanas y circuitos de running en Rengo y Rosario, conectando barrios con áreas verdes y equipamiento deportivo, promoviendo transporte sustentable y vida activa.</t>
  </si>
  <si>
    <t>Rengo tiene 0 km de ciclovías, contrastando con recomendaciones de movilidad sustentable para una comuna de 65.786 habitantes con densidad de &gt;4.000 hab/km2 en casco urbano. Las precipitaciones han disminuido 30-35% y la demanda hídrica es de 220,8 hm3/año, requiriendo modos de transporte con menor huella de carbono. La irradiancia solar de 5,3 kWh/m2/día evidencia potencial para infraestructura verde, y los 7.256 PcD (12,1%) necesitan rutas accesibles. El PRC desactualizado (16+ años) no contempla movilidad sustentable, contraviniendo el ODS 11 y la ERD O'Higgins 2024-2036. La infraestructura vial debe considerar la cobertura de alcantarillado: 82,3% urbano vs 51,4% rural (brecha de 30,9 pp), con 18,2% de hogares rurales usando fosa septica (Censo 2024).</t>
  </si>
  <si>
    <t>Km de ciclovías construidos; Espacios de running habilitados; Participación de usuarios</t>
  </si>
  <si>
    <t>0 km de ciclovías; 0 circuitos running</t>
  </si>
  <si>
    <t>5 km ciclovías; 2 circuitos running</t>
  </si>
  <si>
    <t>15 km ciclovías; 5 circuitos running; 2.000 usuarios/semana</t>
  </si>
  <si>
    <t>FNDR + MINVU + Municipal + MOP</t>
  </si>
  <si>
    <t>ODS 3, 11, 13</t>
  </si>
  <si>
    <t>Vivimos el Deporte: Escuelas Deportivas Municipales</t>
  </si>
  <si>
    <t>Crear escuelas deportivas municipales en diversas disciplinas (fútbol, básquetbol, atletismo, natación, artes marciales) para niños y jóvenes, con entrenadores calificados.</t>
  </si>
  <si>
    <t>La comuna de 65.786 habitantes carece de escuelas deportivas municipales formales, con matrícula municipal de 9.766 alumnos sin actividades extracurriculares deportivas estructuradas. La tasa de asistencia media es 88,4% (11,6% deserción) y el deporte puede ser herramienta de retención escolar, mientras la encuesta NNA (n=21) prioriza deporte y recreación con 52% de menciones. Los delitos de drogas aumentaron 440% y los crímenes contra la vida 126%, requiriendo estrategias preventivas para NNA. La Ley 19.712 del Deporte y el ODS 3 fundamentan la inversión en formación deportiva juvenil. Los espacios deseados por NNA incluyen piscinas (14%), canchas (5%) y centros juveniles (19%), con 43% priorizando deportes como actividad (Diagnostico NNA n=21).</t>
  </si>
  <si>
    <t>Escuelas deportivas creadas; Participación de niños y jóvenes; Disciplinas ofrecidas</t>
  </si>
  <si>
    <t>0 escuelas deportivas municipales formales</t>
  </si>
  <si>
    <t>5 escuelas; 500 inscritos; 5 disciplinas</t>
  </si>
  <si>
    <t>10 escuelas; 1.500 inscritos; 10 disciplinas</t>
  </si>
  <si>
    <t>Municipal + IND + FNDR</t>
  </si>
  <si>
    <t>OE 1.4 Fortalecer programas de inclusión social para adultos mayores, personas con discapacidad y migrantes</t>
  </si>
  <si>
    <t>Salud Recreación y Bienestar Social</t>
  </si>
  <si>
    <t>Atenciones Móviles Salud de la Mujer 'Rengo Te Cuida'</t>
  </si>
  <si>
    <t>Implementar unidad móvil especializada en salud de la mujer, con mamografías, PAP, ecografías y atención ginecológica en localidades rurales y sectores con menor acceso a servicios de salud.</t>
  </si>
  <si>
    <t>La VIF registra 608 casos anuales con 78% contra mujeres, haciendo prioritaria la salud integral femenina. La vulnerabilidad en salud alcanza 62,5% (FONASA A+B) y la tasa de mortalidad comunal (7,8/1.000) supera promedios regionales. Los servicios de salud de la mujer se concentran en centros urbanos, excluyendo al 14,6% rural. Las mujeres representan 32.503 beneficiarias (51,4%) con 6.518 mujeres en PSCV (61,9% del total). La VIF afecta principalmente a mujeres 30-44 anos (175 casos, 28,7%), con 22 ninos &lt;14 y 14 adolescentes 14-17 tambien afectados (Carabineros 2024). La mortalidad infantil bajo a minimo historico de 3,0 por 1.000 nacidos vivos en 2024, pero persisten brechas en salud reproductiva que requieren atencion movil focalizada. (Fuente: DEIS 2024; Censo INE 2024; Etnografia Social 2025)</t>
  </si>
  <si>
    <t>Número de atenciones ginecológicas móviles; Cobertura de PAP y mamografía; Localidades atendidas</t>
  </si>
  <si>
    <t>Atención de salud de la mujer concentrada en centros urbanos</t>
  </si>
  <si>
    <t>1 unidad móvil + operativos mensuales en localidades rurales</t>
  </si>
  <si>
    <t>2 unidades móviles + cobertura 100% localidades + telemedicina</t>
  </si>
  <si>
    <t>Depto. Salud Municipal + Oficina de la Mujer</t>
  </si>
  <si>
    <t>Municipal + MINSAL + SERNAMEG + GORE</t>
  </si>
  <si>
    <t>ODS 3, 5</t>
  </si>
  <si>
    <t>Atención Integral de Salud Adultos Mayores Rurales 'Salud sin Barreras'</t>
  </si>
  <si>
    <t>Crear programa especializado de atención integral para adultos mayores en sectores rurales, con equipos itinerantes de geriatría, kinesiología, salud mental y apoyo social.</t>
  </si>
  <si>
    <t>De los 8.796 adultos mayores (IE=72,1), un porcentaje significativo reside en zonas rurales con &lt;30 hab/km2 (distritos Popeta, Chanqueahue). La vulnerabilidad en salud alcanza 62,5% (FONASA A+B) y la tasa de mortalidad comunal (7,8/1.000) supera promedios nacionales. El BIP rural representa solo $113 MM (11,5% de inversión total). La red de salud realiza 91.606 consultas medicas APS (3a regional, promedio 43.894) y 520.000 prestaciones anuales (+176% desde 2012). Los ESPA alcanzan 4.535 (+152% sobre promedio regional), demostrando capacidad de atencion que requiere consolidacion (SINIM 2024).</t>
  </si>
  <si>
    <t>Adultos mayores rurales atendidos; Frecuencia de visitas equipos itinerantes; Derivaciones oportunas a nivel secundario</t>
  </si>
  <si>
    <t>Atención geriátrica rural limitada y fragmentada</t>
  </si>
  <si>
    <t>Equipos itinerantes quincenales en 100% localidades rurales</t>
  </si>
  <si>
    <t>Atención geriátrica semanal en terreno + telegeriatría + centros satélite</t>
  </si>
  <si>
    <t>Depto. Salud Municipal + Oficina Adulto Mayor</t>
  </si>
  <si>
    <t>Municipal + SENAMA + MINSAL + GORE</t>
  </si>
  <si>
    <t>ODS 3, 10</t>
  </si>
  <si>
    <t>Capacitación Continua de Funcionarios de Salud</t>
  </si>
  <si>
    <t>Implementar programa de capacitación continua y desarrollo profesional para funcionarios de la red de salud comunal, abarcando competencias clínicas, gestión, tecnología y atención centrada en el usuario.</t>
  </si>
  <si>
    <t>La red de salud de Rengo atendió 520.000 prestaciones (2023) con dotación de 15.500 horas, requiriendo actualización permanente. La profesionalización municipal es 34,5% entre 939 funcionarios. La encuesta funcionaria (n=116) prioriza capacitación continua (34%) y modernización de procesos (62%). La red de salud realiza 91.606 consultas medicas APS (3a regional, promedio 43.894) y 520.000 prestaciones anuales (+176% desde 2012). Los ESPA alcanzan 4.535 (+152% sobre promedio regional), demostrando capacidad de atencion que requiere consolidacion (SINIM 2024).</t>
  </si>
  <si>
    <t>Horas de capacitación por funcionario/año; Porcentaje de funcionarios capacitados; Evaluación de competencias post-capacitación</t>
  </si>
  <si>
    <t>Capacitación esporádica sin plan estructurado</t>
  </si>
  <si>
    <t>Plan anual de capacitación + 40 hrs/funcionario/año + evaluación</t>
  </si>
  <si>
    <t>Sistema de desarrollo profesional continuo + certificación de competencias</t>
  </si>
  <si>
    <t>Depto. Salud Municipal + RRHH</t>
  </si>
  <si>
    <t>Municipal + MINSAL + Servicio Salud O'Higgins</t>
  </si>
  <si>
    <t>ODS 3, 4</t>
  </si>
  <si>
    <t>Capacitación a Cuidadores 'Cuidando al Cuidador'</t>
  </si>
  <si>
    <t>Implementar programa de capacitación y apoyo integral para cuidadores de adultos mayores dependientes, incluyendo técnicas de cuidado, manejo del estrés, autocuidado y redes de apoyo mutuo.</t>
  </si>
  <si>
    <t>Los cuidadores enfrentan sobrecarga con 8.796 adultos mayores en la comuna (170 con dependencia grave/total). La VIF registra 608 casos (78% contra mujeres), y el estrés del cuidador es factor de riesgo. La encuesta funcionaria (n=116) identifica disputas laborales en 22%, reflejando cultura de sobrecarga institucional. De los 608 casos VIF, 475 victimas son mujeres (78%), con el grupo 30-44 anos (175 casos) coincidiendo con edad de cuidadoras principales. Los 42 adultos mayores victimas 65+ (+223% desde 2005) evidencian riesgo tambien para quienes reciben cuidados (Carabineros 2024).</t>
  </si>
  <si>
    <t>Cuidadores capacitados; Talleres de autocuidado realizados; Índice de sobrecarga del cuidador (Zarit)</t>
  </si>
  <si>
    <t>Apoyo aislado a cuidadores sin programa formal</t>
  </si>
  <si>
    <t>200 cuidadores capacitados + programa de autocuidado mensual</t>
  </si>
  <si>
    <t>500 cuidadores en programa + red de apoyo mutuo + respiro programado</t>
  </si>
  <si>
    <t>Oficina Adulto Mayor + Depto. Salud</t>
  </si>
  <si>
    <t>Municipal + SENAMA + MINSAL</t>
  </si>
  <si>
    <t>ODS 3, 5, 10</t>
  </si>
  <si>
    <t>Centros de Día para Adultos Mayores 'Rengo Acompaña'</t>
  </si>
  <si>
    <t>Crear centros de día para adultos mayores que ofrezcan actividades de estimulación cognitiva, socialización, alimentación, cuidados básicos y respiro para familias cuidadoras durante jornada diurna.</t>
  </si>
  <si>
    <t>Rengo tiene 8.796 adultos mayores (13,8% de la población, IE=72,1) y 170 con dependencia grave/total. La encuesta ciudadana (n=119) prioriza salud con 46% de menciones. Los centros de día previenen institucionalización y deterioro funcional, fundamental ante el 42,8% con riesgo/dependencia. La red de salud realiza 91.606 consultas medicas APS (3a regional, promedio 43.894) y 520.000 prestaciones anuales (+176% desde 2012). Los ESPA alcanzan 4.535 (+152% sobre promedio regional), demostrando capacidad de atencion que requiere consolidacion (SINIM 2024).</t>
  </si>
  <si>
    <t>Número de centros de día operativos; Adultos mayores atendidos diariamente; Satisfacción de usuarios y familias</t>
  </si>
  <si>
    <t>0 centros de día para adultos mayores en la comuna</t>
  </si>
  <si>
    <t>1 centro de día operativo + 40 adultos mayores atendidos diariamente</t>
  </si>
  <si>
    <t>3 centros de día + cobertura territorial + 120 adultos mayores atendidos</t>
  </si>
  <si>
    <t>Oficina Adulto Mayor + SECPLAN</t>
  </si>
  <si>
    <t>Municipal + SENAMA + FNDR + GORE</t>
  </si>
  <si>
    <t>Continuidad de Atención de Salud en Sectores Rurales</t>
  </si>
  <si>
    <t>Garantizar la continuidad y mejora de la atención de salud primaria en sectores rurales de Rengo, fortaleciendo postas rurales, rondas médicas y servicios móviles para reducir brechas de acceso territorial.</t>
  </si>
  <si>
    <t>Rengo cuenta con 65.786 hab. (Censo 2024) con amplia dispersión rural y 14,6% de población rural. La red de salud primaria atiende 63.240 beneficiarios inscritos a través de 3 CESFAM, 1 SAR y 1 SAPU, pero postas rurales presentan limitaciones de equipamiento. La vulnerabilidad en salud alcanza 62,5% (FONASA A+B). La poblacion inscrita en salud (sept 2025) alcanza 65.879 personas, superando la censal de 65.786, evidenciando sobre-inscripcion y demanda real (DEIS 2025). Las evaluaciones de desarrollo psicomotor (&lt;18 meses) alcanzan 1.641, un 281% sobre el promedio regional de 431 (SINIM 2024).</t>
  </si>
  <si>
    <t>Número de consultas realizadas en postas rurales; Porcentaje de cobertura rural atendida; Frecuencia de rondas médicas mensuales</t>
  </si>
  <si>
    <t>3 postas rurales operativas con atención parcial</t>
  </si>
  <si>
    <t>5 postas rurales + rondas médicas semanales en 100% localidades</t>
  </si>
  <si>
    <t>8 postas rurales equipadas + cobertura 100% población rural</t>
  </si>
  <si>
    <t>Depto. Salud Municipal + SECPLAN</t>
  </si>
  <si>
    <t>Municipal + MINSAL + GORE O'Higgins</t>
  </si>
  <si>
    <t>Convenios Docente Asistencial 'Salud y Educación en Sinergia'</t>
  </si>
  <si>
    <t>Establecer convenios docente-asistenciales con universidades e institutos para que estudiantes de carreras de salud realicen prácticas clínicas en la red de salud comunal, fortaleciendo capacidad resolutiva.</t>
  </si>
  <si>
    <t>La formación de profesionales en contexto comunal beneficia la red con 63.240 beneficiarios inscritos. Las prestaciones de salud crecieron 176% (de 188.486 a 520.000) y la dotación en horas de 6.295 a 15.500 (+146%). Los convenios docente-asistenciales aumentan capacidad resolutiva para los 10.528 pacientes crónicos. El per capita financiero en 2012 era inferior a $3.500/beneficiario, habiendo mejorado significativamente. Los convenios docente-asistenciales fortalecen capacidad resolutiva para 91.606 consultas APS anuales (3a regional; SINIM 2024).</t>
  </si>
  <si>
    <t>Número de convenios vigentes; Estudiantes en práctica por año; Horas de atención adicional generadas</t>
  </si>
  <si>
    <t>1 convenio docente-asistencial vigente</t>
  </si>
  <si>
    <t>4 convenios con universidades + 30 estudiantes anuales</t>
  </si>
  <si>
    <t>8 convenios + programa permanente + investigación aplicada en salud comunal</t>
  </si>
  <si>
    <t>Municipal + Universidades + MINSAL</t>
  </si>
  <si>
    <t>ODS 3, 4, 17</t>
  </si>
  <si>
    <t>De Rengo a las Localidades: Servicios Móviles de Salud</t>
  </si>
  <si>
    <t>Desplegar unidades móviles de salud hacia localidades rurales y periurbanas, ofreciendo atención médica, dental, kinesiología, salud mental y exámenes preventivos directamente en terreno.</t>
  </si>
  <si>
    <t>La dispersión territorial de Rengo dificulta acceso a salud: la población inscrita (63.240) supera la censal (65.786 hab.) evidenciando sobre-inscripción. Con 14,6% de ruralidad y distritos como Chanqueahue (232,5 km2) y Popeta (142,9 km2) a baja densidad (&lt;30 hab/km2), los servicios móviles son esenciales. La red de salud realiza 91.606 consultas medicas APS (3a regional, promedio 43.894) y 520.000 prestaciones anuales (+176% desde 2012). Los ESPA alcanzan 4.535 (+152% sobre promedio regional), demostrando capacidad de atencion que requiere consolidacion (SINIM 2024).</t>
  </si>
  <si>
    <t>Número de operativos móviles realizados por mes; Localidades cubiertas; Atenciones realizadas en terreno</t>
  </si>
  <si>
    <t>Operativos móviles esporádicos sin programación fija</t>
  </si>
  <si>
    <t>2 unidades móviles + operativos semanales en 100% localidades</t>
  </si>
  <si>
    <t>4 unidades móviles + cobertura permanente + telemedicina rural</t>
  </si>
  <si>
    <t>Espacios de Autocuidado en Centros de Salud (Salud Mental)</t>
  </si>
  <si>
    <t>Crear espacios de autocuidado y bienestar emocional en centros de salud comunales, con talleres de manejo del estrés, mindfulness, actividad física y apoyo psicológico grupal para usuarios y funcionarios.</t>
  </si>
  <si>
    <t>La encuesta NNA (n=21) arroja 0% de evaluación positiva de la comuna y 24% reporta violencia escolar recurrente. La VIF registra 608 casos (78% contra mujeres), evidenciando necesidad de espacios de contención emocional. Los AVPP aumentaron 46,3% entre 2018 y 2022 (de 3.778 a 5.738). Segun el MIPP, solo 18-28% de victimas de VIF denuncia, sugiriendo prevalencia real de 2.170-3.380 casos. Los agresores identificados suman 384 (300 hombres=78,1%, 84 mujeres), con 42 adultos mayores victimas 65+ (+223% desde 2005; Carabineros 2024).</t>
  </si>
  <si>
    <t>Número de espacios de autocuidado implementados; Usuarios atendidos mensualmente; Índice de satisfacción usuaria en salud mental</t>
  </si>
  <si>
    <t>0 espacios formales de autocuidado en centros de salud</t>
  </si>
  <si>
    <t>3 espacios operativos en CESFAM principales + talleres semanales</t>
  </si>
  <si>
    <t>Espacios de autocuidado en 100% centros de salud + programa permanente</t>
  </si>
  <si>
    <t>Depto. Salud Municipal</t>
  </si>
  <si>
    <t>Municipal + MINSAL + SENDA</t>
  </si>
  <si>
    <t>ODS 3</t>
  </si>
  <si>
    <t>Implementación ECICEP – Nuevas Estrategias de Salud Primaria (Piloto)</t>
  </si>
  <si>
    <t>Implementar el modelo ECICEP como piloto en centros de salud primaria de Rengo, integrando estrategias comunitarias de intervención, continuidad y evaluación participativa para mejorar resultados sanitarios.</t>
  </si>
  <si>
    <t>El modelo tradicional de salud primaria requiere innovación: Rengo tiene 10.528 pacientes crónicos bajo control en PSCV (16,5% de la población) y 5,4% de pobreza. La tasa de mortalidad comunal (7,8 por 1.000) supera promedio regional y nacional, requiriendo estrategias comunitarias integradas. Los ESPA (Examenes Salud Preventivos Adulto) alcanzan 4.535, un 152% sobre el promedio regional de 1.798, demostrando capacidad de innovacion preventiva. La mortalidad infantil bajo a minimo historico de 3,0 por 1.000 nacidos vivos en 2024, pero la tasa comunal general (7,8/1.000) sigue por sobre el promedio regional (DEIS 2024).</t>
  </si>
  <si>
    <t>Número de CESFAM con modelo ECICEP implementado; Tasa de resolución en APS; Satisfacción usuaria</t>
  </si>
  <si>
    <t>0 centros con modelo ECICEP</t>
  </si>
  <si>
    <t>2 CESFAM piloto con modelo ECICEP operativo</t>
  </si>
  <si>
    <t>100% red APS comunal con modelo ECICEP integrado</t>
  </si>
  <si>
    <t>Implementación de Exámenes Preventivos</t>
  </si>
  <si>
    <t>Ampliar la cobertura de exámenes de medicina preventiva (EMPA/EMPAM) en la comuna, con énfasis en detección temprana de enfermedades crónicas, salud mental y factores de riesgo en población vulnerable.</t>
  </si>
  <si>
    <t>Las brechas en cobertura de exámenes preventivos afectan a la población de 65.786 hab., especialmente los 8.796 adultos mayores (65+) y la población rural (14,6%). La mortalidad infantil en 2022 alcanzó 11,44 por 1.000 nacidos vivos (más del doble del nacional 5,86), evidenciando necesidad de detección temprana. La red de salud realiza 91.606 consultas medicas APS (3a regional, promedio 43.894) y 520.000 prestaciones anuales (+176% desde 2012). Los ESPA alcanzan 4.535 (+152% sobre promedio regional), demostrando capacidad de atencion que requiere consolidacion (SINIM 2024).</t>
  </si>
  <si>
    <t>Cobertura EMPA y EMPAM; Tasa de detección temprana de patologías crónicas; Número de exámenes realizados en operativos comunitarios</t>
  </si>
  <si>
    <t>Cobertura EMPA 45%, EMPAM 55%</t>
  </si>
  <si>
    <t>EMPA 70%, EMPAM 80% + operativos en ferias y localidades</t>
  </si>
  <si>
    <t>EMPA 90%, EMPAM 95% + sistema de seguimiento digital</t>
  </si>
  <si>
    <t>Municipal + MINSAL + FONASA</t>
  </si>
  <si>
    <t>Programa de Envejecimiento Activo 'Rengo Activo'</t>
  </si>
  <si>
    <t>Implementar programa integral de envejecimiento activo con talleres de actividad física, estimulación cognitiva, participación social, voluntariado senior y acceso a cultura y recreación para adultos mayores.</t>
  </si>
  <si>
    <t>El envejecimiento activo previene deterioro: con 8.796 adultos mayores y IE de 72,1 (aumento de 34% desde 2017), la demanda de programas aumenta. La evaluación funcional muestra 42,8% con riesgo/dependencia, y el PSCV controla 10.528 pacientes crónicos. La encuesta ciudadana (n=119) prioriza salud con 46% de menciones. La poblacion 60+ totaliza 12.523 personas (19,7%), con indice de envejecimiento de 84,5%. El crecimiento de 30,6% en poblacion 65+ entre 2017-2024 proyecta que para 2035 los adultos mayores superaran el 20% de la poblacion comunal (Censo INE 2024).</t>
  </si>
  <si>
    <t>Adultos mayores participantes; Talleres realizados mensualmente; Evaluación funcional de participantes</t>
  </si>
  <si>
    <t>Actividades dispersas sin programa integral de envejecimiento activo</t>
  </si>
  <si>
    <t>Programa en 5 sectores + 500 adultos mayores participantes regulares</t>
  </si>
  <si>
    <t>Cobertura comunal + centros de envejecimiento activo + 1,500 participantes</t>
  </si>
  <si>
    <t>Oficina Adulto Mayor + Depto. Deportes + Depto. Salud</t>
  </si>
  <si>
    <t>Municipal + SENAMA + IND + FNDR</t>
  </si>
  <si>
    <t>Programa de Nutrición Adultos Mayores 'Nutriendo a Nuestros Mayores'</t>
  </si>
  <si>
    <t>Implementar programa de nutrición y alimentación saludable para adultos mayores, con evaluación nutricional, entrega de complementos alimentarios, talleres de alimentación y huertos comunitarios senior.</t>
  </si>
  <si>
    <t>La malnutrición aumenta morbilidad en adultos mayores: con 8.796 personas 65+ y 5,4% de pobreza comunal (13,6% multidimensional), el riesgo nutricional es alto. La evaluación funcional muestra 42,8% con riesgo/dependencia y la vulnerabilidad FONASA A+B alcanza 62,5%. El programa PACAM requiere cobertura integral. Las 88 personas en situacion de calle registradas tambien requieren atencion nutricional. La vulnerabilidad FONASA A+B del 62,5% (39.503 personas) implica que la mayoria requiere atencion gratuita o con minimo copago (FONASA 2024). La poblacion 60+ alcanza 12.523 personas (19,7% del total) con indice de envejecimiento de 84,5%, generando demanda creciente de programas nutricionales especializados. (Fuente: DEIS 2024; Censo INE 2024; Etnografia Social 2025)</t>
  </si>
  <si>
    <t>Adultos mayores con evaluación nutricional; Complementos alimentarios entregados; Talleres de alimentación saludable realizados</t>
  </si>
  <si>
    <t>Programa alimentario complementario (PACAM) con cobertura parcial</t>
  </si>
  <si>
    <t>100% cobertura PACAM + evaluación nutricional integral + talleres mensuales</t>
  </si>
  <si>
    <t>Programa nutricional integral + huertos senior + seguimiento personalizado</t>
  </si>
  <si>
    <t>Municipal + MINSAL + JUNAEB + INTA</t>
  </si>
  <si>
    <t>ODS 2, 3, 10</t>
  </si>
  <si>
    <t>Programas Deportivos Comunitarios 'Rengo Activo y Saludable'</t>
  </si>
  <si>
    <t>Implementar programas deportivos y de actividad física comunitaria en plazas, parques y recintos deportivos, con énfasis en adultos mayores, personas con discapacidad y familias de sectores vulnerables.</t>
  </si>
  <si>
    <t>Con solo 1,96 m2/hab de áreas verdes (OMS: 9-10 m2/hab) y 60% de césped amarillento por déficit de riego, Rengo necesita maximizar espacios existentes. Los 8.796 adultos mayores y 7.256 PcD (12,1%) requieren programas accesibles. La encuesta ciudadana (n=119) prioriza deporte con 41% de menciones. La poblacion 60+ totaliza 12.523 personas (19,7%), con indice de envejecimiento de 84,5%. El crecimiento de 30,6% en poblacion 65+ entre 2017-2024 proyecta que para 2035 los adultos mayores superaran el 20% de la poblacion comunal (Censo INE 2024).</t>
  </si>
  <si>
    <t>Número de programas deportivos comunitarios; Participantes regulares; Cobertura territorial de actividades</t>
  </si>
  <si>
    <t>Programas deportivos centralizados con cobertura limitada</t>
  </si>
  <si>
    <t>Programas en 80% sectores + talleres para adultos mayores y PcD</t>
  </si>
  <si>
    <t>Cobertura 100% territorial + infraestructura deportiva mejorada + ligas comunales</t>
  </si>
  <si>
    <t>Municipal + IND + MINDEP + FNDR</t>
  </si>
  <si>
    <t>Red de Cuidados para Adultos Mayores con Dependencia 'Rengo Cuida'</t>
  </si>
  <si>
    <t>Crear red comunal de cuidados para adultos mayores con dependencia, articulando servicios domiciliarios, respiro para cuidadores, ayudas técnicas y coordinación con red de salud formal.</t>
  </si>
  <si>
    <t>El envejecimiento poblacional genera creciente demanda: el IE pasó de 53,8 (2017) a 72,1 (2024), un aumento de 34%. Con 8.796 adultos mayores y 170 personas con dependencia grave/total, Rengo necesita sistema integral de cuidados. Los AVPP aumentaron 46,3% entre 2018-2022, con incremento de 67,7% en mujeres. La poblacion 60+ totaliza 12.523 personas (19,7%), con 8.796 mayores de 65+ (IE=72,1, aumento de 34% desde 2017). La evaluacion funcional muestra 42,8% con riesgo/dependencia y 170 con dependencia grave/total. Los AVPP aumentaron 46,3% entre 2018-2022 (DEIS 2024; Censo INE 2024).</t>
  </si>
  <si>
    <t>Adultos mayores dependientes en red de cuidados; Servicios de respiro otorgados; Ayudas técnicas entregadas</t>
  </si>
  <si>
    <t>Cuidados fragmentados sin red articulada</t>
  </si>
  <si>
    <t>Red operativa en 5 sectores + 200 familias apoyadas</t>
  </si>
  <si>
    <t>Red comunal completa + centro de cuidados + 500 familias en programa</t>
  </si>
  <si>
    <t>Oficina Adulto Mayor + Depto. Salud + DIDECO</t>
  </si>
  <si>
    <t>Municipal + SENAMA + MINSAL + MDSF</t>
  </si>
  <si>
    <t>Reforzar Modelo de Salud Familiar</t>
  </si>
  <si>
    <t>Fortalecer el Modelo de Salud Familiar en toda la red comunal, consolidando equipos de cabecera, visitas domiciliarias integrales y planes de salud familiar con enfoque biopsicosocial y territorial.</t>
  </si>
  <si>
    <t>Con 8.796 adultos mayores (IE=72,1) y 7.256 PcD (12,1%), Rengo requiere atención centrada en familia y comunidad. El PSCV registra 10.528 pacientes crónicos, con 6.518 mujeres (61,9%) y 4.010 hombres (38,1%). La evaluación funcional muestra 42,8% con riesgo/dependencia. La poblacion 60+ alcanza 12.523 personas (19,7% del total), con indice de envejecimiento de 84,5% (por cada 100 menores de 18, hay 85,5 personas 60+), generando demanda creciente de atencion centrada en familia y comunidad (Censo INE 2024).</t>
  </si>
  <si>
    <t>Porcentaje de familias con plan de salud familiar activo; Número de visitas domiciliarias integrales; Cobertura de equipos de cabecera</t>
  </si>
  <si>
    <t>60% familias inscritas con plan de salud familiar</t>
  </si>
  <si>
    <t>85% familias con plan activo + visitas domiciliarias programadas</t>
  </si>
  <si>
    <t>100% familias con plan integral + seguimiento continuo</t>
  </si>
  <si>
    <t>Municipal + MINSAL</t>
  </si>
  <si>
    <t>Rengo Previene: Exámenes y Vacunaciones en Ferias</t>
  </si>
  <si>
    <t>Realizar operativos de salud preventiva en ferias libres y espacios comunitarios de alta concurrencia, ofreciendo exámenes rápidos, vacunaciones, toma de presión y educación sanitaria.</t>
  </si>
  <si>
    <t>Las ferias libres son espacios de alta concurrencia en Rengo, con 5 feriantes entrevistados en diagnóstico (Feria La Piscina y Balmaceda). La red de salud atiende 63.240 beneficiarios y las prestaciones crecieron 176% (de 188.486 a 520.000 entre 2012-2023). Los operativos permiten captar población sin consulta regular. La red de salud realiza 91.606 consultas medicas APS (3a regional, promedio 43.894) y 520.000 prestaciones anuales (+176% desde 2012). Los ESPA alcanzan 4.535 (+152% sobre promedio regional), demostrando capacidad de atencion que requiere consolidacion (SINIM 2024).</t>
  </si>
  <si>
    <t>Número de operativos en ferias realizados; Personas atendidas por operativo; Tasa de detección de patologías</t>
  </si>
  <si>
    <t>Operativos esporádicos sin programación sistemática</t>
  </si>
  <si>
    <t>Operativos quincenales en principales ferias + registro digital</t>
  </si>
  <si>
    <t>Operativos semanales en toda la comuna + seguimiento de casos detectados</t>
  </si>
  <si>
    <t>Salud Mental Adultos Mayores 'Rengo Te Escucha'</t>
  </si>
  <si>
    <t>Crear programa especializado de salud mental para adultos mayores, abordando depresión, ansiedad, duelo, soledad y deterioro cognitivo mediante atención psicológica, grupos terapéuticos y visitas domiciliarias.</t>
  </si>
  <si>
    <t>La soledad y depresión afectan a adultos mayores: con 8.796 personas 65+ y IE de 72,1, la demanda de salud mental geriátrica crece. Los AVPP aumentaron 46,3% (2018-2022) y la tasa de mortalidad comunal (7,8/1.000) supera promedios. El PSCV controla 10.528 pacientes crónicos, muchos con comorbilidad psiquiátrica. La red de salud realiza 91.606 consultas medicas APS (3a regional, promedio 43.894) y 520.000 prestaciones anuales (+176% desde 2012). Los ESPA alcanzan 4.535 (+152% sobre promedio regional), demostrando capacidad de atencion que requiere consolidacion (SINIM 2024).</t>
  </si>
  <si>
    <t>Adultos mayores en programa de salud mental; Consultas psicológicas realizadas; Tamizaje de depresión geriátrica aplicado</t>
  </si>
  <si>
    <t>Atención de salud mental geriátrica sin programa específico</t>
  </si>
  <si>
    <t>Programa operativo en CESFAM + 300 adultos mayores atendidos/año</t>
  </si>
  <si>
    <t>Cobertura comunal + equipo geriátrico-psiquiátrico + 800 atendidos/año</t>
  </si>
  <si>
    <t>Municipal + MINSAL + SENAMA</t>
  </si>
  <si>
    <t>Servicios de Atención Médica a Domicilio 'Salud Cerca de Ti'</t>
  </si>
  <si>
    <t>Crear programa de atención médica domiciliaria para personas con dependencia severa, adultos mayores postrados y pacientes crónicos que no pueden trasladarse a centros de salud.</t>
  </si>
  <si>
    <t>Rengo tiene 8.796 adultos mayores 65+ (IE=72,1 vs 53,8 en 2017). La evaluación funcional de 2.287 adultos mayores muestra 42,8% con riesgo/dependencia y 170 con dependencia grave/total. La atención domiciliaria reduce hospitalizaciones y mejora calidad de vida para esta población creciente. La poblacion 65+ crecio de 6.735 (2017) a 8.796 (2024), un aumento de +2.061 personas (+30,6%), proyectando demanda creciente de atencion domiciliaria (Censo INE 2024).</t>
  </si>
  <si>
    <t>Número de pacientes en programa domiciliario; Visitas domiciliarias mensuales; Reducción de hospitalizaciones evitables</t>
  </si>
  <si>
    <t>Programa domiciliario con cobertura limitada</t>
  </si>
  <si>
    <t>Cobertura 80% pacientes postrados + equipo multidisciplinario</t>
  </si>
  <si>
    <t>100% cobertura + telemonitoreo + coordinación con hospital</t>
  </si>
  <si>
    <t>Sistema Toma de Hora vía Celular y Web 'Rengo Sin Espera'</t>
  </si>
  <si>
    <t>Implementar sistema digital de agendamiento de horas médicas vía aplicación móvil y plataforma web, eliminando filas presenciales y mejorando la experiencia del usuario en la red de salud comunal.</t>
  </si>
  <si>
    <t>La transformación digital es prioritaria para una comuna de 65.786 hab.: la encuesta ciudadana (n=119) califica atención digital con 3,0/5 (umbral mínimo). El 67% de viviendas carece de conexión fija a internet, requiriendo estrategia de acceso progresivo. La encuesta funcionaria (n=116) prioriza modernizar procesos administrativos (62%). Las 14.191 conexiones internet fijas (5a de 33) y 91,4% de hogares con internet (Censo 2024) proveen base para agendamiento digital, aunque solo 11% usa tramites online frecuentemente (Encuesta ciudadana n=119).</t>
  </si>
  <si>
    <t>Porcentaje de horas agendadas digitalmente; Reducción de tiempos de espera; Satisfacción usuaria digital</t>
  </si>
  <si>
    <t>Agendamiento mayoritariamente presencial y telefónico</t>
  </si>
  <si>
    <t>60% horas agendadas vía digital + app móvil operativa</t>
  </si>
  <si>
    <t>90% agendamiento digital + integración con ficha clínica electrónica</t>
  </si>
  <si>
    <t>Depto. Salud Municipal + Informática</t>
  </si>
  <si>
    <t>Municipal + MINSAL + FNDR</t>
  </si>
  <si>
    <t>ODS 3, 9</t>
  </si>
  <si>
    <t>OE 1.5 Reducir consumo de alcohol y drogas mediante prevención y rehabilitación comunitaria</t>
  </si>
  <si>
    <t>Apoyo Psicológico en Escuelas</t>
  </si>
  <si>
    <t>Fortalecer la dotación de profesionales de salud mental en establecimientos educacionales, implementando programas de apoyo psicológico, detección temprana y derivación oportuna para estudiantes.</t>
  </si>
  <si>
    <t>La encuesta NNA (n=21) arroja 0% de evaluación positiva y 24% reporta violencia escolar recurrente. El PSCV registra 10.528 pacientes crónicos y los AVPP aumentaron 46,3% (2018-2022). La salud mental infanto-juvenil requiere intervención temprana en los 27 establecimientos municipales con 9.766 alumnos. La red de salud realiza 91.606 consultas medicas APS (3a regional, promedio 43.894) y 520.000 prestaciones anuales (+176% desde 2012). Los ESPA alcanzan 4.535 (+152% sobre promedio regional), demostrando capacidad de atencion que requiere consolidacion (SINIM 2024).</t>
  </si>
  <si>
    <t>Número de psicólogos en establecimientos; Estudiantes atendidos; Tasa de derivación oportuna a red de salud</t>
  </si>
  <si>
    <t>Cobertura parcial de apoyo psicológico escolar</t>
  </si>
  <si>
    <t>1 psicólogo por establecimiento municipal + protocolos de detección</t>
  </si>
  <si>
    <t>Equipo multidisciplinario por establecimiento + programa preventivo integral</t>
  </si>
  <si>
    <t>DAEM + Depto. Salud Municipal + OPD</t>
  </si>
  <si>
    <t>Municipal + MINEDUC + MINSAL</t>
  </si>
  <si>
    <t>Programa de Seguridad Digital para Niños y Adolescentes</t>
  </si>
  <si>
    <t>Implementar programa de educación en seguridad digital para NNA, abordando ciberbullying, grooming, uso responsable de redes sociales y adicciones digitales en establecimientos educacionales.</t>
  </si>
  <si>
    <t>La encuesta NNA (n=21) reporta 24% de violencia escolar recurrente y 38% identifica consumo de alcohol/drogas como situación de inseguridad. Los delitos de drogas aumentaron 440% y los crímenes contra la vida 126%. La matrícula municipal de 9.766 alumnos en 27 establecimientos requiere protección digital. Los infractores menores en drogas suman 8 adolescentes 14-17 anos, con total de 131 infractores (68 entre 18-29 anos, 51,9%), demostrando necesidad de proteccion digital y prevencion temprana (Carabineros 2024).</t>
  </si>
  <si>
    <t>Número de establecimientos con programa implementado; NNA capacitados; Casos de ciberbullying reportados y atendidos</t>
  </si>
  <si>
    <t>0 establecimientos con programa formal de seguridad digital</t>
  </si>
  <si>
    <t>80% establecimientos municipales con programa + capacitación docentes</t>
  </si>
  <si>
    <t>100% establecimientos + extensión a comunidad + protocolo de atención</t>
  </si>
  <si>
    <t>DAEM + Depto. Salud + OPD</t>
  </si>
  <si>
    <t>Municipal + SENDA + SUBTEL + MINEDUC</t>
  </si>
  <si>
    <t>Eje 2: Desarrollo Económico Comunal</t>
  </si>
  <si>
    <t>OE 2.1 Fortalecer el Ecosistema Productivo y de Emprendimiento Local</t>
  </si>
  <si>
    <t>Desarrollo Económico Comunal</t>
  </si>
  <si>
    <t>Alianza Público-Privada: Incubación Proyectos</t>
  </si>
  <si>
    <t>Crear un programa de incubación de proyectos productivos con alianzas público-privadas, ofreciendo mentoría, financiamiento semilla y conexión con mercados.</t>
  </si>
  <si>
    <t>Rengo requiere diversificar su base productiva: la contracción agrícola fue de 3.950 ha (-26% en 14 años) y los empleos agrícolas representan 48,7% del total con 13.234 trabajadores estacionales. Los ingresos propios municipales son solo 9%, pudiendo potenciarse con inversión privada entre las 4.829 empresas (1a en región). CORFO administra programas de incubación que necesitan nodos locales, y el ICD evolucionó de 0,10 a 0,88 demostrando capacidad de gestión municipal. Las licitaciones suman 1.000 procesos con $7.011M, evidenciando escala operativa para articulación público-privada conforme al ODS 17. La tasa de materializacion BIP cayo de 49,4% a 30,7%, con 257 repostulaciones (61,2% del total), evidenciando necesidad de mejor formulacion de proyectos que las alianzas publico-privadas pueden fortalecer (Analisis BIP 2025).</t>
  </si>
  <si>
    <t>Proyectos incubados; Participación público-privada; Impacto económico</t>
  </si>
  <si>
    <t>0 programas de incubación local</t>
  </si>
  <si>
    <t>1 programa; 10 proyectos incubados</t>
  </si>
  <si>
    <t>1 programa consolidado; 30 proyectos; 15 empresas operativas</t>
  </si>
  <si>
    <t>SECPLAN + OMIL</t>
  </si>
  <si>
    <t>CORFO + Municipal + PPP</t>
  </si>
  <si>
    <t>ODS 8, 9, 17</t>
  </si>
  <si>
    <t>Centro Estratégico de Negocios</t>
  </si>
  <si>
    <t>Crear un centro de servicios empresariales que ofrezca asesoría legal, contable, financiera y de innovación a emprendedores y empresas de Rengo.</t>
  </si>
  <si>
    <t>Las 4.829 empresas de Rengo (1a en la región) y 4.541 unidades productivas carecen de acceso a servicios empresariales profesionales integrados. El ranking SUBDERE ubicó a Rengo en puesto 11 de 33, cayendo de 80% a 58,4% de logro, reflejando oportunidades de mejora en gestión económica local. La tasa de adjudicación de licitaciones bajó de 84,8% (2010-2017) a 71,6% (2018-2025), con 17,1% sin ofertas. El IDHC evolucionó de 0,51 a 0,74, pero la dimensión económica requiere servicios profesionales que dinamicen las 330 organizaciones comunitarias conforme al ODS 9. La densidad empresarial de 74,5 por 1.000 hab. (1a regional) y la estructura con 953 unidades en manufactura (1a regional, +256% sobre promedio), 834 en comercio (1a, +337%) y 714 en construccion (1a, +303%) evidencian ecosistema diversificado que requiere apoyo (SINIM 2024).</t>
  </si>
  <si>
    <t>Empresas atendidas; Mejora en competitividad; Satisfacción de usuarios</t>
  </si>
  <si>
    <t>0 centros de negocios municipales</t>
  </si>
  <si>
    <t>1 centro operativo; 100 empresas atendidas</t>
  </si>
  <si>
    <t>1 centro consolidado; 300 empresas/año; 80% satisfacción</t>
  </si>
  <si>
    <t>Municipal + CORFO + SERCOTEC + GORE</t>
  </si>
  <si>
    <t>Creación Centro Emprende+</t>
  </si>
  <si>
    <t>Crear un centro de emprendimiento e innovación que ofrezca incubación, aceleración, mentoría y acceso a redes para startups y emprendedores de Rengo.</t>
  </si>
  <si>
    <t>Solo 39% de la población accede a educación superior (brecha estructural) y Rengo carece de ecosistema de innovación pese a sus 4.829 empresas (1a en región). El BIP registra solo 5 proyectos de turismo/comercio (0,4%) con inversión prácticamente nula sobre $1.101 MM de inversión total. CORFO y Start-Up Chile ofrecen recursos que necesitan articulación local, y la sede UOH en Rengo puede generar sinergias. El ICD evolucionó de 0,10 a 0,88 demostrando capacidad de gestión municipal para atraer y articular emprendimiento conforme al ODS 9. La tasa de desocupacion de 9,04% (Censo 2024, superior al promedio regional) y el empleo estacional del 57% demandan un centro de emprendimiento que genere empleo permanente, complementando las 500+ colocaciones anuales de la OMIL.</t>
  </si>
  <si>
    <t>Emprendedores atendidos; Negocios creados; Satisfacción de usuarios</t>
  </si>
  <si>
    <t>0 centros de emprendimiento</t>
  </si>
  <si>
    <t>1 centro operativo; 50 emprendedores; 10 negocios</t>
  </si>
  <si>
    <t>1 centro consolidado; 150 emprendedores/año; 30 negocios creados</t>
  </si>
  <si>
    <t>CORFO + Municipal + GORE</t>
  </si>
  <si>
    <t>ODS 4, 8, 9</t>
  </si>
  <si>
    <t>Desarrollo Espacios de Comercio para Emprendedores</t>
  </si>
  <si>
    <t>Crear espacios de comercio tipo vega junto al Río Claro para emprendedores locales, con infraestructura adecuada, servicios básicos y gestión asociativa.</t>
  </si>
  <si>
    <t>Los emprendedores locales carecen de espacios formales de comercialización, pese a las 4.829 empresas registradas (1a en región) y 4.541 unidades productivas. El Río Claro representa un eje territorial con potencial turístico-comercial asociado a 736 ha de viñas y 11.078 ha de superficie agrícola bajo riego. Las 330 organizaciones comunitarias demandan espacios productivos según la etnografía social con más de 50 entrevistas. La pobreza de 5,4% y multidimensional de 13,6% requieren canales de comercialización directa conforme a la Ley 18.695 art. 4 letra f y el ODS 8. La estructura empresarial muestra 953 unidades en manufactura (1a regional, +256%), 834 en comercio (1a, +337%) y 714 en construccion (1a, +303%). Los 12.453 trabajadores en microempresas (78,3%) evidencian predominio de empleo en pequena escala (SINIM 2024).</t>
  </si>
  <si>
    <t>Espacios comerciales habilitados; Empresarios beneficiados; Impacto en ventas</t>
  </si>
  <si>
    <t>0 espacios comerciales municipales para emprendedores</t>
  </si>
  <si>
    <t>1 espacio; 30 emprendedores</t>
  </si>
  <si>
    <t>3 espacios; 80 emprendedores; $150M ventas anuales</t>
  </si>
  <si>
    <t>SECPLAN + DIDECO</t>
  </si>
  <si>
    <t>FNDR + Municipal + SERCOTEC</t>
  </si>
  <si>
    <t>ODS 8, 11, 1</t>
  </si>
  <si>
    <t>Edificio de Fomento Productivo: Cowork y Capacitación</t>
  </si>
  <si>
    <t>Construir un edificio de fomento productivo con espacios de coworking, salas de capacitación, laboratorio de prototipado y oficinas de atención a emprendedores.</t>
  </si>
  <si>
    <t>Solo 39% de la población accede a educación superior y la escolaridad promedio es 11,1 años (vs 12,1 nacional), limitando la innovación en una comuna con 4.829 empresas. La tasa de asistencia a educación superior es 39,0%, una brecha estructural que la sede UOH en Rengo puede ayudar a cerrar. El BIP registra solo 5 proyectos de turismo/comercio (0,4%) con inversión prácticamente nula, evidenciando déficit de fomento productivo. El IDHC educativo creció de 0,55 a 0,72 pero requiere infraestructura de innovación conforme al ODS 9 y la Ley 18.695 art. 4 letra f. El retiro en educacion media bajo a 1,51% (reduccion 69% desde 4,89% en 2009), evidenciando mejora en retencion. La cobertura municipal recupero de 64,32% (2011) a 75,41% (2024), mientras la matricula total comunal crecio 5,9% (de 12.752 a 13.510; SINIM 2024).</t>
  </si>
  <si>
    <t>Progreso de construcción (%); Emprendedores usuarios; Startups creadas</t>
  </si>
  <si>
    <t>0 espacios de coworking municipal</t>
  </si>
  <si>
    <t>100% operativo; 200 emprendedores/año; 20 startups creadas</t>
  </si>
  <si>
    <t>FNDR + CORFO + GORE + Municipal</t>
  </si>
  <si>
    <t>ODS 8, 9, 4</t>
  </si>
  <si>
    <t>Feria Permanente de Productores Locales</t>
  </si>
  <si>
    <t>Establecer una feria semanal permanente de productores locales con productos agrícolas, artesanales y gastronómicos, fortaleciendo la cadena de valor local.</t>
  </si>
  <si>
    <t>Los productores agrícolas de Rengo cultivan 11.078 ha bajo riego, pero venden a intermediarios con bajos márgenes en un contexto de 4.541 unidades productivas. La contracción agrícola de 3.950 ha (-26% en 14 años) exige canales directos de comercialización para sostener empleo estacional del 57%. INDAP y SERCOTEC apoyan ferias como instrumento de desarrollo para las comunidades con 5,4% de pobreza y 13,6% multidimensional. La demanda hídrica de 220,8 hm3/año (95,3% riego) evidencia la centralidad agrícola que requiere articulación comercial conforme al ODS 2. El 35,3% de hogares usa lena como combustible principal de calefaccion (Censo 2024), evidenciando practicas rurales que las ferias pueden capitalizar en productos de biomasa y economia circular.</t>
  </si>
  <si>
    <t>Ferias semanales realizadas; Ventas totales de productores; Participación de productores</t>
  </si>
  <si>
    <t>Ferias esporádicas sin periodicidad</t>
  </si>
  <si>
    <t>48 ferias/año; 40 productores; $80M ventas</t>
  </si>
  <si>
    <t>48 ferias/año; 80 productores; $200M ventas; marca local</t>
  </si>
  <si>
    <t>DIDECO + OMIL</t>
  </si>
  <si>
    <t>Municipal + INDAP + SERCOTEC</t>
  </si>
  <si>
    <t>ODS 1, 2, 8</t>
  </si>
  <si>
    <t>Fomento a la Inversión</t>
  </si>
  <si>
    <t>Diseñar e implementar incentivos fiscales y administrativos para atraer inversiones productivas a Rengo, incluyendo reducción de patentes, ventanilla única y zonificación preferente.</t>
  </si>
  <si>
    <t>El PRC lleva más de 16 años sin actualizar, generando incertidumbre para inversionistas entre las 4.829 empresas comunales y 4.541 unidades productivas. Los ingresos propios representan solo 9% del presupuesto municipal, mientras la dependencia de transferencias alcanza 75,2% con gasto corriente de 84,57%. La tasa de adjudicación de licitaciones cayó a 71,6% (2018-2025) y 23,7% quedan sin ofertas (237 procesos). El IIGAM de 0,57 (15° regional) con probidad al 75% y acceso a información al 58% evidencian espacio para mejorar el clima de inversión conforme al ODS 8. La estructura empresarial muestra 953 unidades en manufactura (1a regional, +256%), 834 en comercio (1a, +337%) y 714 en construccion (1a, +303%). Los 12.453 trabajadores en microempresas (78,3%) evidencian predominio de empleo en pequena escala (SINIM 2024).</t>
  </si>
  <si>
    <t>Incentivos implementados; Monto de inversión atraída; Empleos generados</t>
  </si>
  <si>
    <t>Sin política de incentivos a la inversión</t>
  </si>
  <si>
    <t>Marco de incentivos aprobado; $300M inversión nueva</t>
  </si>
  <si>
    <t>Política consolidada; $2.000M inversión acumulada; 200 empleos</t>
  </si>
  <si>
    <t>Alcaldía + SECPLAN + DAF</t>
  </si>
  <si>
    <t>Municipal + CORFO + GORE</t>
  </si>
  <si>
    <t>Formalización y Regulación de Ferias Locales</t>
  </si>
  <si>
    <t>Formalizar y regular las ferias libres y temáticas de Rengo, mejorando condiciones sanitarias, tributarias y de infraestructura para comerciantes y consumidores.</t>
  </si>
  <si>
    <t>Las ferias libres operan con informalidad parcial en una comuna con 1.000 procesos de licitación y $7.011M en compras públicas, incluyendo las ferias La Piscina y Balmaceda. La base tributaria municipal requiere ampliación: los ingresos propios representan solo 9% del total con autonomía financiera de 92,8%. El diagnóstico normativo identifica 50,9% de decretos como modificaciones (parcheo normativo) y 63,6% con más de 20 años de vigencia. La Ley 18.695 art. 4 letra e sobre regulación comercial y el ODS 8 fundamentan la formalización como estrategia de desarrollo. El 35,3% de hogares usa lena como combustible principal de calefaccion (Censo 2024), evidenciando practicas rurales que las ferias pueden capitalizar en productos de biomasa y economia circular.</t>
  </si>
  <si>
    <t>Ferias formalizadas; Recaudación por permisos; Satisfacción de feriantes y usuarios</t>
  </si>
  <si>
    <t>Ferias con regulación parcial</t>
  </si>
  <si>
    <t>100% ferias formalizadas; $20M recaudación</t>
  </si>
  <si>
    <t>100% ferias reguladas; $50M recaudación; infraestructura mejorada</t>
  </si>
  <si>
    <t>DOM + DAF</t>
  </si>
  <si>
    <t>Municipal</t>
  </si>
  <si>
    <t>Fortaleciendo el Futuro: Apoyo Microempresarios</t>
  </si>
  <si>
    <t>Brindar apoyo integral a microempresarios con mentorías, capacitación en formalización, marketing digital y acceso a microcréditos, reduciendo la informalidad económica.</t>
  </si>
  <si>
    <t>La pobreza de 5,4% se concentra en hogares con empleo informal, con trabajadores estacionales representando 57% del empleo total entre 13.234 trabajadores agrícolas. Los ingresos propios municipales representan solo 9% del total y la dependencia de transferencias alcanza 75,2%. El 67% de viviendas carece de conexión fija a internet, limitando comercio digital, mientras la escolaridad de 11,1 años (vs 12,1 nacional) restringe capacidades empresariales. SERCOTEC y FOSIS ofrecen programas de formalización articulables por la OMIL conforme a la Ley 18.695 art. 4 letra f y el ODS 1. El RSH indica que ~58% de hogares esta bajo el 40% de vulnerabilidad, y el 44,9% de la poblacion (26.309 hab.) se ubica en quintiles inferiores Q1+Q2 del BHT, coincidiendo con hogares de microempresarios informales (Diagnostico MBHT 2025).</t>
  </si>
  <si>
    <t>Microempresarios apoyados; Incremento en ventas; Satisfacción de beneficiarios</t>
  </si>
  <si>
    <t>Sin programa de apoyo a microempresarios</t>
  </si>
  <si>
    <t>80 microempresarios; 20% aumento ventas</t>
  </si>
  <si>
    <t>200 microempresarios; 30% formalización; $100M en ventas adicionales</t>
  </si>
  <si>
    <t>OMIL + DIDECO</t>
  </si>
  <si>
    <t>Municipal + SERCOTEC + FOSIS</t>
  </si>
  <si>
    <t>ODS 1, 8, 10</t>
  </si>
  <si>
    <t>Rengo Destino de Oportunidades: Atracción de Inversiones</t>
  </si>
  <si>
    <t>Desarrollar una estrategia de atracción de inversiones que posicione a Rengo como destino competitivo, ofreciendo facilidades administrativas, información territorial y alianzas público-privadas.</t>
  </si>
  <si>
    <t>Rengo depende 75,2% de transferencias del Estado central y requiere diversificar su base económica entre sus 4.829 empresas y 4.541 unidades productivas. El PRC lleva más de 16 años sin actualizar, generando incertidumbre territorial para inversionistas en un territorio de 592 km2. El ICD comunal evolucionó de 0,10 (2012) a 0,88 (2023), mostrando capacidad de gestión, y el IDHC creció de 0,51 a 0,74. Las licitaciones municipales suman 1.000 procesos con $7.011M totales, pero 23,7% quedan sin ofertas, evidenciando necesidad de mejorar el ecosistema de inversión conforme al ODS 9. El patrimonio municipal paso de -$1.460M (2012) a +$9.400M (2023), y la inversion SECPLA crecio de $2.000M a $20.000M (+900%), demostrando capacidad de gestion que atrae inversion (SINIM 2024).</t>
  </si>
  <si>
    <t>Inversiones atraídas; Monto total invertido; Empleos generados; Diversificación productiva</t>
  </si>
  <si>
    <t>Sin estrategia de atracción de inversiones</t>
  </si>
  <si>
    <t>3 inversiones nuevas; $500M monto; 50 empleos</t>
  </si>
  <si>
    <t>10 inversiones; $3.000M monto; 300 empleos directos</t>
  </si>
  <si>
    <t>SECPLAN + Alcaldía</t>
  </si>
  <si>
    <t>Municipal + CORFO + GORE + PPP</t>
  </si>
  <si>
    <t>Rengo Impulsa tu Negocio: Fortalecimiento PYMEs</t>
  </si>
  <si>
    <t>Apoyar a PYMEs de Rengo con asistencia técnica, capacitación en gestión, acceso a financiamiento y vinculación con mercados, fortaleciendo el tejido productivo local.</t>
  </si>
  <si>
    <t>La pobreza comunal es 5,4% (CASEN 2022) con pobreza multidimensional de 13,6% (8.600 personas), en una comuna con 4.829 empresas (1a en la región) y 4.541 unidades productivas. La OMIL realiza más de 500 colocaciones/año evidenciando brecha de capacitación, mientras el 57% del empleo es estacional en agricultura con 13.234 trabajadores. CORFO y SERCOTEC ofrecen instrumentos que Rengo subutiliza según el diagnóstico institucional; la caída de 3.950 ha agrícolas (-26%) exige reconversión productiva. La Ley 18.695 art. 4 letra f faculta fomento productivo municipal conforme al ODS 8. La densidad empresarial de 74,5 por 1.000 hab. (1a regional) y la estructura con 953 unidades en manufactura (1a regional, +256% sobre promedio), 834 en comercio (1a, +337%) y 714 en construccion (1a, +303%) evidencian ecosistema diversificado que requiere apoyo (SINIM 2024).</t>
  </si>
  <si>
    <t>PYMEs apoyadas; Crecimiento en ventas de PYMEs; Satisfacción de empresarios</t>
  </si>
  <si>
    <t>Sin programa municipal de apoyo PYME</t>
  </si>
  <si>
    <t>50 PYMEs apoyadas; 15% crecimiento promedio</t>
  </si>
  <si>
    <t>150 PYMEs apoyadas; 25% crecimiento; red empresarial activa</t>
  </si>
  <si>
    <t>OMIL + SECPLAN</t>
  </si>
  <si>
    <t>Municipal + SERCOTEC + CORFO + GORE</t>
  </si>
  <si>
    <t>ODS 8, 9, 1</t>
  </si>
  <si>
    <t>OE 2.2 Mejorar la Empleabilidad y la Capacitación Laboral</t>
  </si>
  <si>
    <t>Capacitación en Oficios para Reinserción Laboral</t>
  </si>
  <si>
    <t>Implementar programas de capacitación en oficios (electricidad, gasfitería, soldadura, mecánica, repostería) para personas desempleadas y en situación de vulnerabilidad.</t>
  </si>
  <si>
    <t>La escolaridad promedio de 11,1 años limita opciones laborales, y 57% del empleo es estacional con 13.234 trabajadores agrícolas. La pobreza multidimensional de 13,6% (8.600 personas) requiere estrategias de reinserción laboral efectivas, agravada por la vulnerabilidad FONASA A+B del 62,5%. SENCE y FOSIS ofrecen programas que la OMIL puede articular para las más de 500 colocaciones anuales. La caída de 3.950 ha agrícolas (-26%) genera presión sobre el empleo estacional, requiriendo diversificación de oficios conforme al ODS 4 y la Ley 18.695 art. 4 letra f. El retiro en educacion media bajo a 1,51% (reduccion 69% desde 4,89% en 2009), evidenciando mejora en retencion. La cobertura municipal recupero de 64,32% (2011) a 75,41% (2024), mientras la matricula total comunal crecio 5,9% (de 12.752 a 13.510; SINIM 2024).</t>
  </si>
  <si>
    <t>Personas capacitadas; Tasa de reinserción laboral; Oficios impartidos</t>
  </si>
  <si>
    <t>50 personas capacitadas/año vía OMIL</t>
  </si>
  <si>
    <t>150 personas/año; 55% reinserción; 8 oficios</t>
  </si>
  <si>
    <t>300 personas/año; 65% reinserción; 15 oficios</t>
  </si>
  <si>
    <t>OMIL</t>
  </si>
  <si>
    <t>SENCE + FOSIS + Municipal</t>
  </si>
  <si>
    <t>ODS 1, 4, 8</t>
  </si>
  <si>
    <t>Empoderamiento: Fortalecimiento Jefas de Hogar</t>
  </si>
  <si>
    <t>Apoyar a jefas de hogar con programas de emprendimiento, capacitación laboral, cuidado infantil y redes de apoyo para su inserción económica efectiva.</t>
  </si>
  <si>
    <t>La VIF registra 608 casos anuales con 78% contra mujeres, evidenciando alta vulnerabilidad femenina en una comuna donde las mujeres representan 51,4% de la población (32.695). La pobreza de 5,4% afecta desproporcionadamente a hogares monoparentales femeninos, con brecha de empleo de género de 0,09 y brecha de liderazgo de 0,08. La cobertura preescolar de solo 50,9% limita la inserción laboral femenina al no garantizar cuidado infantil conforme a la Ley 20.710. La encuesta funcionaria (n=116) reporta 3% de acoso sexual, evidenciando desafíos de género también a nivel institucional. La natalidad cayo 40,7% (de 17,36 a 10,30 por mil entre 2001-2024), pero la cobertura preescolar de solo 50,9% sigue siendo barrera para insercion laboral femenina. Los AVPP en mujeres aumentaron 67,7%, evidenciando impacto de sobrecarga de roles (DEIS 2024).</t>
  </si>
  <si>
    <t>Mujeres beneficiarias; Participación económica activa; Satisfacción de beneficiarias</t>
  </si>
  <si>
    <t>Programa Jefas de Hogar SERNAMEG con cobertura limitada</t>
  </si>
  <si>
    <t>100 mujeres/año; 50% inserción laboral</t>
  </si>
  <si>
    <t>250 mujeres/año; 65% inserción laboral; red de apoyo operativa</t>
  </si>
  <si>
    <t>Municipal + SERNAMEG + PRODEMU + SENCE</t>
  </si>
  <si>
    <t>ODS 1, 5, 8</t>
  </si>
  <si>
    <t>Fuerza Laboral Rengo: Formación SENCE</t>
  </si>
  <si>
    <t>Implementar programas de capacitación laboral articulados con SENCE en oficios demandados por el mercado local y regional, mejorando la empleabilidad de la población.</t>
  </si>
  <si>
    <t>La escolaridad promedio de 11,1 años y la pobreza multidimensional de 13,6% (8.600 personas) evidencian brechas de capital humano en una comuna de 65.786 habitantes. La OMIL realiza más de 500 colocaciones/año pero 57% del empleo es estacional en agricultura con 13.234 trabajadores. La caída de 3.950 ha agrícolas (-26% en 14 años) genera presión sobre el empleo estacional, agravando la dependencia del FCM que representa el 55,8% de los ingresos municipales. La Ley 18.695 art. 4 letra f y el ODS 4 fundamentan capacitación laboral como herramienta de desarrollo. La escolaridad por genero muestra hombres: 11,0 anos y mujeres: 11,2 anos, con poblacion inmigrante en 11,8 anos. La educacion basica alcanza 95,4% de asistencia (logro consolidado) pero la media solo 88,4% (Censo INE 2024).</t>
  </si>
  <si>
    <t>Personas capacitadas; Tasa de empleo post-capacitación; Cursos realizados</t>
  </si>
  <si>
    <t>120 capacitados/año vía OMIL</t>
  </si>
  <si>
    <t>300 capacitados/año; 60% empleo post</t>
  </si>
  <si>
    <t>600 capacitados/año; 70% empleo post; 30 oficios ofertados</t>
  </si>
  <si>
    <t>SENCE + Municipal + GORE</t>
  </si>
  <si>
    <t>ODS 4, 8, 10</t>
  </si>
  <si>
    <t>Programa Capacitación Comerciantes Locales</t>
  </si>
  <si>
    <t>Capacitar a comerciantes del centro de Rengo y Rosario en marketing digital, gestión financiera, atención al cliente y comercio electrónico.</t>
  </si>
  <si>
    <t>Los comerciantes locales enfrentan competencia sin herramientas de gestión moderna, en una comuna con 4.829 empresas pero escolaridad de 11,1 años que limita adopción tecnológica. La encuesta ciudadana (n=119) califica calles y tránsito con 2,82/5, el puntaje más bajo, afectando la experiencia comercial. El 67% de viviendas carece de conexión fija a internet, dificultando el comercio digital en un contexto donde la Ley 21.180 de transformación digital aplica al Estado. Las 4.541 unidades productivas requieren actualización digital conforme al ODS 9 y la ERD O'Higgins 2024-2036. Las 14.191 conexiones de internet fijas y 91,4% de hogares con internet (Censo 2024) proveen base para comercio digital, aunque la encuesta ciudadana califica la atencion digital con solo 3,0/5, umbral minimo de aceptabilidad.</t>
  </si>
  <si>
    <t>Comerciantes capacitados; Incremento en ventas post-capacitación; Satisfacción</t>
  </si>
  <si>
    <t>0 programas de capacitación para comerciantes</t>
  </si>
  <si>
    <t>100 comerciantes; 15% aumento ventas</t>
  </si>
  <si>
    <t>300 comerciantes; 25% aumento ventas; 50% con venta online</t>
  </si>
  <si>
    <t>SERCOTEC + SENCE + Municipal</t>
  </si>
  <si>
    <t>OE 2.3 Polos emprendimiento</t>
  </si>
  <si>
    <t>Desarrollo Economico</t>
  </si>
  <si>
    <t>R12: Ordenanza de Desarrollo Economico Local</t>
  </si>
  <si>
    <t>Regular fomento productivo, emprendimiento, mercados campesinos, turismo vitivinicola y economia local.</t>
  </si>
  <si>
    <t>4.829 empresas (1 regional) sin marco normativo fomento. Brecha 58x promedio vs mediana recaudacion patentes. Rengo 17 patentes pero 54,7% recaudacion. Solo 4 decretos (7,3%) en comercio y economia del corpus normativo.</t>
  </si>
  <si>
    <t>Ordenanza aprobada</t>
  </si>
  <si>
    <t>Sin ordenanza desarrollo economico</t>
  </si>
  <si>
    <t>Ordenanza + reglamento ferias</t>
  </si>
  <si>
    <t>Evaluacion impacto</t>
  </si>
  <si>
    <t>Dir. Des. Economico + Juridica</t>
  </si>
  <si>
    <t>Municipal + CORFO</t>
  </si>
  <si>
    <t>ODS 8, 9</t>
  </si>
  <si>
    <t>OE 2.3 Promover la Economía Solidaria y Colaborativa</t>
  </si>
  <si>
    <t>Programa Sinergia Renguina</t>
  </si>
  <si>
    <t>Crear un programa de intercambio de servicios vecinales y economía colaborativa que fortalezca la cohesión social y optimice recursos comunitarios.</t>
  </si>
  <si>
    <t>Las 330 organizaciones comunitarias poseen capacidades diversas sin articulación formal, en una comuna con 65.786 habitantes y crecimiento de +20,6% desde 2001. Los 3.217 migrantes (5,06%, con 37% venezolanos y 25% bolivianos) requieren mecanismos de integración económica, junto a 3.813 personas de pueblos originarios (5,99%). La encuesta ciudadana (n=119) muestra disposición a participar: 49% afirmativa y 43% condicional, con percepción de identidad débil en 66%. La Ley 20.500 sobre participación ciudadana y el ODS 10 fundamentan la economía colaborativa como estrategia de inclusión social. El vinculo comunitario muestra que 39% de ciudadania comparte con vecinos (vs 48% de NNA que no lo hace), y 57% pertenece a alguna agrupacion, base social para economia colaborativa (Encuesta ciudadana n=119).</t>
  </si>
  <si>
    <t>Intercambios de servicios registrados; Participación vecinal; Índice de cohesión social</t>
  </si>
  <si>
    <t>0 programas de economía colaborativa</t>
  </si>
  <si>
    <t>1 programa piloto; 200 familias; 500 intercambios</t>
  </si>
  <si>
    <t>1 programa consolidado; 800 familias; 3.000 intercambios/año</t>
  </si>
  <si>
    <t>DIDECO</t>
  </si>
  <si>
    <t>Municipal + FOSIS</t>
  </si>
  <si>
    <t>ODS 1, 10, 11</t>
  </si>
  <si>
    <t>Eje 3: Educación y Capacitación para el Desarrollo Humano</t>
  </si>
  <si>
    <t>OE 3.1 Mejorar la Calidad y Convivencia en los Establecimientos Educacionales</t>
  </si>
  <si>
    <t>Educación y Capacitación</t>
  </si>
  <si>
    <t>Mejora Integral Trabajo Psicosocial</t>
  </si>
  <si>
    <t>Coordinar el trabajo psicosocial del DAEM con redes de infancia, salud y protección social para atención integral de estudiantes y familias vulnerables.</t>
  </si>
  <si>
    <t>Los 608 casos de VIF (78% contra mujeres) impactan directamente en rendimiento y bienestar de NNA escolarizados en los 27 establecimientos municipales (84,4% del total). La pobreza multidimensional de 13,6% se concentra en familias con niños, con 12.203 menores de 14 años y vulnerabilidad FONASA A+B del 62,5%. La red de salud atiende 63.240 beneficiarios inscritos con 520.000 prestaciones anuales, requiriendo coordinación intersectorial. Los AVPP aumentaron 46,3% (2018-2022), evidenciando necesidad de intervención temprana conforme al ODS 3 y la Ley 21.430 sobre garantías de la niñez. Pese a la caida de natalidad de 40,7% (de 17,36 a 10,30 por mil entre 2001-2024), la demanda psicosocial crece por complejidad: 81 casos de drogas (+440%), 608 de VIF (78% mujeres) y 85 adultos mayores victimas (+554%) impactan entornos familiares escolares (DEIS 2024; Carabineros 2024).</t>
  </si>
  <si>
    <t>Atenciones integrales realizadas; Bienestar de familias atendidas; Derivaciones efectivas</t>
  </si>
  <si>
    <t>Coordinación parcial DAEM-redes</t>
  </si>
  <si>
    <t>Protocolo intersectorial operativo; 500 familias atendidas</t>
  </si>
  <si>
    <t>1.000 familias/año; red integrada; 90% derivaciones efectivas</t>
  </si>
  <si>
    <t>DAEM + Depto. Salud + DIDECO</t>
  </si>
  <si>
    <t>Municipal + SENAME + Mejor Niñez + MINEDUC</t>
  </si>
  <si>
    <t>ODS 1, 3, 4</t>
  </si>
  <si>
    <t>Mejora Profesionales Psicosociales</t>
  </si>
  <si>
    <t>Fortalecer los equipos psicosociales de establecimientos educacionales municipales con más profesionales (psicólogos, trabajadores sociales, fonoaudiólogos) y mejores condiciones laborales.</t>
  </si>
  <si>
    <t>La VIF registra 608 casos (78% contra mujeres) y la violencia escolar recurrente afecta a 24% de NNA, generando demanda psicosocial que supera capacidad actual de los 27 establecimientos municipales. La natalidad cayó 40,7% pero los 9.766 alumnos existentes requieren atención integral, con logro PAES de 89,4% y brecha de 12,20 pp entre municipales y subvencionados. La vulnerabilidad FONASA A+B alcanza 62,5%, correlacionando pobreza familiar con riesgo psicosocial infantil. La Ley 20.710 establece educación como derecho social que exige dotación profesional adecuada conforme al ODS 4. El grupo etario mas afectado en VIF es mujeres 30-44 anos (175 casos, 28,7%). Los 22 ninos &lt;14 y 14 adolescentes 14-17 afectados evidencian impacto intergeneracional. Segun MIPP, solo 18-28% de victimas denuncia, sugiriendo prevalencia real 3-5 veces mayor (Carabineros 2024; MIPP).</t>
  </si>
  <si>
    <t>Profesionales contratados; Atenciones psicosociales realizadas; Bienestar estudiantil</t>
  </si>
  <si>
    <t>Equipos psicosociales insuficientes en DAEM</t>
  </si>
  <si>
    <t>50% aumento dotación; 1.500 atenciones/año</t>
  </si>
  <si>
    <t>100% cobertura; 3.000 atenciones/año; protocolo unificado</t>
  </si>
  <si>
    <t>DAEM</t>
  </si>
  <si>
    <t>Municipal + SEP + PIE + MINEDUC</t>
  </si>
  <si>
    <t>Política Comunal de Convivencia Educativa "Mejor Comunidad"</t>
  </si>
  <si>
    <t>Diseñar e implementar una política comunal de convivencia educativa que prevenga el bullying, promueva el buen trato y genere ambientes escolares seguros e inclusivos.</t>
  </si>
  <si>
    <t>La encuesta NNA (n=21) reporta 24% de violencia escolar recurrente y 0% de evaluación positiva de la comuna, con 48% percibiendo inseguridad como problema principal. La tasa de asistencia media es 88,4% (11,6% deserción), vinculada a problemas de clima escolar en 27 establecimientos municipales con 9.766 alumnos. El DAEM registra más de 170 sumarios activos por convivencia laboral, reflejando cultura organizacional que impacta establecimientos. Los delitos de drogas aumentaron 440%, afectando entornos escolares conforme a la Ley 21.545 sobre convivencia y el ODS 16. Los 79 menores victimarios 14-17 anos (+464% desde 2005) y la violencia escolar recurrente del 24% de NNA refuerzan la urgencia de politica de convivencia. Solo 57% de NNA se siente muy seguro en su barrio (Carabineros 2024; Diagnostico NNA n=21).</t>
  </si>
  <si>
    <t>Incidentes de violencia escolar; Participación en programas de convivencia; Satisfacción de comunidad educativa</t>
  </si>
  <si>
    <t>23,75% NNA con experiencia de bullying</t>
  </si>
  <si>
    <t>Política aprobada; 15% reducción bullying</t>
  </si>
  <si>
    <t>8% bullying; 90% escuelas con programa activo; 85% satisfacción</t>
  </si>
  <si>
    <t>Municipal + MINEDUC + SENDA</t>
  </si>
  <si>
    <t>ODS 4, 16, 3</t>
  </si>
  <si>
    <t>Talleres "Campamentos Invierno/Verano" y After School</t>
  </si>
  <si>
    <t>Implementar talleres extracurriculares y campamentos durante vacaciones y horarios después de clases, ofreciendo actividades artísticas, deportivas, científicas y tecnológicas.</t>
  </si>
  <si>
    <t>La tasa de asistencia media es 88,4% (11,6% deserción) y se agrava sin actividades complementarias para 9.766 alumnos municipales. La encuesta NNA (n=21) muestra 0% de evaluación positiva; 48% desea cafeterías/cines, 19% centros juveniles y 15% plazas como nuevos espacios. Las actividades deseadas incluyen deportes (43%), voluntariado (24%) y arte (10%), evidenciando demanda diversa. Los delitos de drogas aumentaron 440% y el 38% de NNA identifica consumo de sustancias en su entorno, requiriendo alternativas preventivas conforme al ODS 4. Los delitos de armas crecieron 308% (de 13 a 53 casos), complementando el aumento en vida (+126%), drogas (+440%) y robos violentos (+107%). Los adultos mayores victimas 65+ crecieron +554% en vida y +567% en robos, siendo grupo mas vulnerable (Carabineros 2024).</t>
  </si>
  <si>
    <t>Talleres ofrecidos; Participación de estudiantes; Rendimiento académico asociado</t>
  </si>
  <si>
    <t>Talleres esporádicos sin programa formal</t>
  </si>
  <si>
    <t>20 talleres/año; 500 estudiantes</t>
  </si>
  <si>
    <t>40 talleres/año; 1.200 estudiantes; mejora 10% rendimiento</t>
  </si>
  <si>
    <t>DAEM + DIDECO</t>
  </si>
  <si>
    <t>Municipal + MINEDUC + CNCA</t>
  </si>
  <si>
    <t>ODS 4, 3, 10</t>
  </si>
  <si>
    <t>OE 3.2 Modernizar la Infraestructura y Equipamiento Educativo</t>
  </si>
  <si>
    <t>Fortalecimiento Educación Parvularia "Las Semillas de Rengo"</t>
  </si>
  <si>
    <t>Fortalecer la educación parvularia municipal con mejoras en infraestructura, material didáctico, capacitación de educadoras y ampliación de cobertura.</t>
  </si>
  <si>
    <t>La cobertura preescolar alcanza solo 50,9%, dejando a casi la mitad de los niños sin educación temprana en una comuna con 12.203 menores de 14 años y natalidad que cayó 40,7%. La matrícula pre-básica municipal cayó de 976 (2020) a 849 (2025), una reducción de 13%, mientras la matrícula VTF descendió 27,9%. Los 7 jardines VTF requieren fortalecimiento para cumplir estándares JUNJI, y la pobreza multidimensional de 13,6% afecta el desarrollo infantil temprano. La Ley 20.710 que establece kínder obligatorio y la ERD O'Higgins 2024-2036 priorizan primera infancia. El retiro en educacion media bajo a 1,51% (reduccion 69% desde 4,89% en 2009), evidenciando mejora en retencion. La cobertura municipal recupero de 64,32% (2011) a 75,41% (2024), mientras la matricula total comunal crecio 5,9% (de 12.752 a 13.510; SINIM 2024).</t>
  </si>
  <si>
    <t>Mejoras en establecimientos parvularios; Indicadores de desarrollo infantil; Participación de apoderados</t>
  </si>
  <si>
    <t>50,9% cobertura preescolar</t>
  </si>
  <si>
    <t>65% cobertura; 3 jardines mejorados</t>
  </si>
  <si>
    <t>80% cobertura; 100% jardines municipales mejorados; estándares JUNJI</t>
  </si>
  <si>
    <t>Municipal + JUNJI + Integra + MINEDUC</t>
  </si>
  <si>
    <t>ODS 4, 1, 10</t>
  </si>
  <si>
    <t>Mejoramiento Calidad e Infraestructura Educativa</t>
  </si>
  <si>
    <t>Mejorar la infraestructura y equipamiento de establecimientos educacionales municipales, incluyendo reparaciones, laboratorios, bibliotecas y tecnología educativa.</t>
  </si>
  <si>
    <t>Los 27 establecimientos municipales (84,4% del total, 9.766 alumnos) requieren inversiones para competir: el logro PAES es 89,4% con brecha de 12,20 pp respecto a particulares subvencionados. La tasa de asistencia media es 88,4% y la ejecución de inversiones municipales cayó a 32,2% (2024), con recursos no ejecutados estimados en MM $3.526 anuales. El BIP destina $137 MM a educación/cultura (12,5% de $1.101 MM total), con tasa de materialización cayendo a 30,7%. La matrícula municipal creció 8% (de 9.043 a 9.766 alumnos), requiriendo infraestructura acorde a la Ley 20.710. La cobertura municipal se recupero de 64,32% (minimo 2011) a 75,41% (2024, +11,09 pp), demostrando que la inversion en infraestructura retiene matricula frente a subvencionados cuya matricula crecio 102,2% (de 2.176 a 4.401 alumnos; SINIM 2024).</t>
  </si>
  <si>
    <t>Establecimientos mejorados; Satisfacción de comunidad educativa; Indicadores de calidad educativa</t>
  </si>
  <si>
    <t>Sin plan de mejoramiento integral</t>
  </si>
  <si>
    <t>5 establecimientos mejorados; 80% satisfacción</t>
  </si>
  <si>
    <t>100% establecimientos mejorados; 90% satisfacción; mejora SIMCE</t>
  </si>
  <si>
    <t>DAEM + DOM</t>
  </si>
  <si>
    <t>FNDR + MINEDUC + Municipal</t>
  </si>
  <si>
    <t>ODS 4, 9, 10</t>
  </si>
  <si>
    <t>Potenciar Liceos "Educación del Futuro"</t>
  </si>
  <si>
    <t>Modernizar liceos municipales con infraestructura tecnológica, laboratorios, talleres técnico-profesionales y ampliación de cupos para enseñanza media.</t>
  </si>
  <si>
    <t>Solo 39% de la población accede a educación superior y la escolaridad promedio es 11,1 años (brecha de 1 año con el nacional de 12,1). La matrícula media TP creció 21,4% (de 1.219 a 1.480 alumnos), mostrando demanda de formación técnica en una comuna con 4.829 empresas. El logro PAES de 89,4% requiere mejoras en infraestructura para cerrar la brecha de 12,20 pp, mientras el BIP destina $137 MM a educación (12,5%). La construcción de sede UOH en Rengo genera sinergia con liceos modernizados conforme al ODS 4 y la Ley 20.710. Los 2 Liceos Bicentenario de Excelencia posicionan a Rengo como referente educativo regional. La media TP crecio 21,4% (de 1.219 a 1.480 alumnos), evidenciando demanda de formacion tecnica articulable con las 4.829 empresas comunales (1a regional; DAEM 2025).</t>
  </si>
  <si>
    <t>Infraestructura modernizada; Resultados académicos; Cupos disponibles en I medio</t>
  </si>
  <si>
    <t>Liceos con infraestructura desactualizada</t>
  </si>
  <si>
    <t>2 liceos modernizados; 10% mejora resultados</t>
  </si>
  <si>
    <t>100% liceos modernizados; 20% mejora SIMCE; ampliación cupos</t>
  </si>
  <si>
    <t>FNDR + MINEDUC + Municipal + FAE</t>
  </si>
  <si>
    <t>OE 3.3 Fortalecer el Acceso a la Educación Superior y Continua</t>
  </si>
  <si>
    <t>Administración Educacional: Traspaso Eficiente</t>
  </si>
  <si>
    <t>Gestionar el traspaso de la educación municipal al Servicio Local de Educación Pública (SLEP) de manera transparente, participativa y sin interrupciones de servicio.</t>
  </si>
  <si>
    <t>La Ley 21.040 establece el traspaso al SLEP, afectando 27 establecimientos municipales con 9.766 alumnos y un DAEM con más de 170 sumarios activos por convivencia laboral. La matrícula municipal representa 76% del total comunal (vs 35-40% nacional), evidenciando la importancia del traspaso ordenado para 65.786 habitantes. La encuesta funcionaria (n=116) señala 48% de relevancia laboral percibida y 22% de disputas, reflejando clima que requiere gestión del cambio. La profesionalización municipal de 34,5% entre 939 funcionarios demanda acompañamiento técnico conforme al ODS 16. El traspaso financiero de educacion evoluciono de $1.155M (2012) a $0 (2016), precedente que exige transparencia en la transicion al SLEP para proteger los 9.766 alumnos municipales (76% de matricula comunal; SINIM 2024).</t>
  </si>
  <si>
    <t>Procesos de traspaso completados; Transparencia percibida; Satisfacción de funcionarios</t>
  </si>
  <si>
    <t>Traspaso a SLEP pendiente</t>
  </si>
  <si>
    <t>Plan de traspaso aprobado; 50% procesos completados</t>
  </si>
  <si>
    <t>100% traspaso completado; continuidad de servicio; 80% satisfacción</t>
  </si>
  <si>
    <t>DAEM + Alcaldía</t>
  </si>
  <si>
    <t>Municipal + MINEDUC + SLEP</t>
  </si>
  <si>
    <t>ODS 4, 16, 17</t>
  </si>
  <si>
    <t>Alianzas Educativas para el Futuro</t>
  </si>
  <si>
    <t>Establecer alianzas con universidades, centros de formación técnica e instituciones de investigación para mejorar la calidad educativa y ampliar oportunidades de formación.</t>
  </si>
  <si>
    <t>Solo 39% accede a educación superior y la sede UOH en Rengo abre oportunidades de vinculación académica para los 9.766 alumnos municipales. La escolaridad promedio de 11,1 años requiere diversificar opciones formativas, y la matrícula TP creció 21,4% evidenciando demanda técnico-profesional. El IDHC evolucionó de 0,51 a 0,74, con la dimensión educativa creciendo de 0,55 a 0,72, pero la brecha con el nacional persiste. Las 4.829 empresas (1a en región) requieren capital humano calificado conforme al ODS 4 y la ERD O'Higgins 2024-2036. Los 2 Liceos Bicentenario de Excelencia posicionan a Rengo como referente educativo regional. La media TP crecio 21,4% (de 1.219 a 1.480 alumnos), evidenciando demanda de formacion tecnica articulable con las 4.829 empresas comunales (1a regional; DAEM 2025). La matricula municipal incluye 4 liceos TP con crecimiento de 21,4% en matricula tecnico-profesional, y la sede UOH en Rengo ofrece vinculacion universitaria directa. (Fuente: DAEM 2025; SINIM 2024; Encuesta NNA n=21)</t>
  </si>
  <si>
    <t>Alianzas formalizadas; Proyectos conjuntos; Impacto en calidad educativa</t>
  </si>
  <si>
    <t>1 alianza parcial con UOH</t>
  </si>
  <si>
    <t>5 alianzas; 3 proyectos conjuntos</t>
  </si>
  <si>
    <t>10 alianzas; 8 proyectos; programa de prácticas activo</t>
  </si>
  <si>
    <t>DAEM + SECPLAN</t>
  </si>
  <si>
    <t>Municipal + MINEDUC + Universidades + GORE</t>
  </si>
  <si>
    <t>ODS 4, 9, 17</t>
  </si>
  <si>
    <t>Capacitaciones Adultos "Rengo Te Capacita"</t>
  </si>
  <si>
    <t>Ofrecer cursos de capacitación para adultos mayores en alfabetización digital, idiomas, manualidades y habilidades prácticas, promoviendo el aprendizaje permanente.</t>
  </si>
  <si>
    <t>Los 8.796 adultos mayores (IE=72,1, aumento de 34% desde 2017) requieren aprendizaje continuo; 42,8% evaluados presentan algún grado de riesgo/dependencia funcional y 170 personas tienen dependencia grave. La brecha digital excluye a mayores del acceso a servicios en línea, con 67% de viviendas sin conexión fija y encuesta ciudadana que califica atención digital con 3,0/5 (umbral mínimo). SENAMA y SENCE ofrecen programas que requieren articulación local, y la Ley 21.180 de transformación digital exige accesibilidad universal. La inclusión digital contribuye al ODS 10 de reducción de desigualdades. La poblacion 60+ totaliza 12.523 personas (19,7%), con 8.796 mayores de 65+ (IE=72,1, aumento de 34% desde 2017). La evaluacion funcional muestra 42,8% con riesgo/dependencia y 170 con dependencia grave/total. Los AVPP aumentaron 46,3% entre 2018-2022 (DEIS 2024; Censo INE 2024).</t>
  </si>
  <si>
    <t>Adultos mayores capacitados; Participación en cursos; Habilidades adquiridas</t>
  </si>
  <si>
    <t>0 programas formales de capacitación para adultos mayores</t>
  </si>
  <si>
    <t>100 adultos mayores/año; 6 cursos</t>
  </si>
  <si>
    <t>300 adultos mayores/año; 12 cursos; 80% alfabetización digital</t>
  </si>
  <si>
    <t>Municipal + SENAMA + SENCE</t>
  </si>
  <si>
    <t>ODS 4, 10, 3</t>
  </si>
  <si>
    <t>Escuela Empoderamiento para Padres</t>
  </si>
  <si>
    <t>Crear una escuela para padres y apoderados con talleres sobre desarrollo infantil, habilidades parentales, convivencia digital y apoyo al aprendizaje en el hogar.</t>
  </si>
  <si>
    <t>La violencia escolar recurrente afecta a 24% de NNA y la VIF registra 608 casos (78% contra mujeres), evidenciando necesidad de fortalecer competencias parentales en hogares vulnerables. La tasa de asistencia media de 88,4% se vincula a factores familiares, con pobreza multidimensional de 13,6% afectando 8.600 personas. La cobertura preescolar de solo 50,9% refleja debilidades en acompañamiento temprano, y los 9.766 alumnos municipales requieren entorno familiar favorable. La Ley 20.710 y el ODS 4 fundamentan la formación parental como estrategia de mejoramiento educativo integral. El 67% de NNA dice ser escuchado solo a veces y 24% siempre, evidenciando debilidad en competencias parentales de escucha activa que los talleres para padres pueden fortalecer (Diagnostico NNA n=21).</t>
  </si>
  <si>
    <t>Talleres realizados; Participación de padres y apoderados; Satisfacción de familias</t>
  </si>
  <si>
    <t>0 programas formales de escuela para padres</t>
  </si>
  <si>
    <t>12 talleres/año; 300 padres</t>
  </si>
  <si>
    <t>24 talleres/año; 800 padres; 85% satisfacción</t>
  </si>
  <si>
    <t>ODS 4, 3, 16</t>
  </si>
  <si>
    <t>Fomento Educación Superior "Formación para el Futuro"</t>
  </si>
  <si>
    <t>Implementar un programa de orientación vocacional, becas municipales y apoyo a la postulación a beneficios estatales para incrementar el acceso a educación superior.</t>
  </si>
  <si>
    <t>Solo 39% accede a educación superior (brecha estructural) y la escolaridad promedio es 11,1 años en una comuna de 65.786 habitantes. La pobreza multidimensional de 13,6% limita opciones de financiamiento de estudios superiores, con vulnerabilidad FONASA A+B del 62,5%. El IDHC educativo evolucionó de 0,55 (2013) a 0,72 (2023), requiriendo mantener la trayectoria ascendente para cerrar brecha con el nacional. La construcción de sede UOH en Rengo y las 4.829 empresas (1a en región) generan demanda de profesionales locales conforme al ODS 4 y la Ley 20.710. Los 2 Liceos Bicentenario de Excelencia posicionan a Rengo como referente educativo regional. La media TP crecio 21,4% (de 1.219 a 1.480 alumnos), evidenciando demanda de formacion tecnica articulable con las 4.829 empresas comunales (1a regional; DAEM 2025).</t>
  </si>
  <si>
    <t>Matrícula en educación superior; Programas de orientación realizados; Empleabilidad de egresados</t>
  </si>
  <si>
    <t>39% acceso a educación superior</t>
  </si>
  <si>
    <t>45% acceso; 300 orientaciones/año</t>
  </si>
  <si>
    <t>55% acceso; 500 orientaciones/año; 80% empleabilidad egresados</t>
  </si>
  <si>
    <t>DAEM + OMIL</t>
  </si>
  <si>
    <t>Municipal + MINEDUC + Universidades + JUNAEB</t>
  </si>
  <si>
    <t>Mejoramiento Alianza Preuniversitaria</t>
  </si>
  <si>
    <t>Fortalecer el programa preuniversitario municipal con más cupos, tutorías personalizadas y convenios con universidades para facilitar el acceso a educación superior.</t>
  </si>
  <si>
    <t>Solo 39% accede a educación superior y la escolaridad promedio de 11,1 años requiere continuidad educativa para los 9.766 alumnos municipales. La matrícula total municipal creció 8% (de 9.043 a 9.766 alumnos), evidenciando demanda creciente de preparación universitaria. La construcción de sede UOH en Rengo abre oportunidades que requieren preparación previa, y el IDHC educativo evolucionó de 0,55 a 0,72. La pobreza multidimensional de 13,6% limita el acceso a preuniversitarios privados, requiriendo acción municipal conforme al ODS 4 y la Ley 20.710. La brecha PAES evoluciono de 7,26 pp (2022) a 14,69 pp (2023) y 12,20 pp (2024), mostrando volatilidad que requiere preparacion consistente. De 644 estudiantes que rindieron PAES 2024, 68 no acceden a educacion superior (SINIM 2024).</t>
  </si>
  <si>
    <t>Estudiantes en programa; Ingreso a universidades; Satisfacción de beneficiarios</t>
  </si>
  <si>
    <t>Preuniversitario municipal con cobertura limitada</t>
  </si>
  <si>
    <t>200 estudiantes/año; 60% ingreso universidad</t>
  </si>
  <si>
    <t>400 estudiantes/año; 75% ingreso; convenios con 5 universidades</t>
  </si>
  <si>
    <t>Municipal + MINEDUC + Universidades</t>
  </si>
  <si>
    <t>ODS 4, 10, 8</t>
  </si>
  <si>
    <t>Rescatando Oficios Tradicionales</t>
  </si>
  <si>
    <t>Crear un programa de formación en oficios tradicionales (herrería, talabartería, tejido, alfarería) que preserve saberes ancestrales y genere oportunidades económicas.</t>
  </si>
  <si>
    <t>La urbanización acelerada (+20,6% desde 2001, 79,5% urbana) y modernización extinguen oficios tradicionales en un territorio fundado en 1831 con tradición campesina centenaria. La escolaridad de 11,1 años no incluye formación en oficios patrimoniales, y la contracción agrícola (-26%, 3.950 ha) transforma la base productiva de 4.541 unidades. Las 330 organizaciones comunitarias incluyen portadores de saberes en riesgo, y los 3.813 habitantes de pueblos originarios (5,99%) aportan tradiciones artesanales. La preservación de oficios contribuye al ODS 11 de ciudades sostenibles y a la identidad territorial de la ERD O'Higgins 2024-2036. El embalse del Rio Claro (10 M m3) y la Junta de Vigilancia (1.200 regantes, 74 anos de funcionamiento) son infraestructura critica. Las precipitaciones proyectadas caen -14,4% al 2050 y la sequia estival aumenta de 39,9% a 54,3% al 2065 (Diagnostico Climatico 2025). Los 4.541 productores agropecuarios y 330 organizaciones comunitarias son portadores de saberes tradicionales que la formacion tecnica puede rescatar. (Fuente: DAEM 2025; SINIM 2024; Encuesta NNA n=21)</t>
  </si>
  <si>
    <t>Capacitaciones en oficios realizadas; Participación de aprendices; Empleabilidad en oficios</t>
  </si>
  <si>
    <t>0 programas de oficios tradicionales</t>
  </si>
  <si>
    <t>3 oficios enseñados; 60 aprendices</t>
  </si>
  <si>
    <t>8 oficios; 200 aprendices; feria de oficios anual</t>
  </si>
  <si>
    <t>Municipal + CNCA + Fondart + SENCE</t>
  </si>
  <si>
    <t>ODS 4, 8, 11</t>
  </si>
  <si>
    <t>Eje 4: Desarrollo Urbano, Vivienda, Infraestructura y Medio Ambiente</t>
  </si>
  <si>
    <t>OE 4.1 Actualizar el Plan Regulador Comunal con enfoque de desarrollo sostenible</t>
  </si>
  <si>
    <t>Vivienda y Urbanismo Comunal</t>
  </si>
  <si>
    <t>Ciudad Verde: Planificación Urbana Sostenible</t>
  </si>
  <si>
    <t>Actualizar el Plan Regulador Comunal integrando criterios de sostenibilidad, áreas verdes, movilidad sustentable, gestión de riesgos y participación ciudadana en la planificación territorial.</t>
  </si>
  <si>
    <t>El PRC tiene más de 16 años sin actualizar, con solo 1,96 m2/hab de áreas verdes (OMS: 9-10 m2/hab) y 80% de especies exóticas. El diagnóstico normativo muestra 41,8% de decretos sobre urbanismo pero 0% de cobertura en desarrollo social, salud y educación. La contracción agrícola (-26%, 3.950 ha) requiere planificación sostenible. La red de salud realiza 91.606 consultas medicas APS (3a regional, promedio 43.894) y 520.000 prestaciones anuales (+176% desde 2012). Los ESPA alcanzan 4.535 (+152% sobre promedio regional), demostrando capacidad de atencion que requiere consolidacion (SINIM 2024).</t>
  </si>
  <si>
    <t>Avance actualización PRC; Superficie áreas verdes (m²/hab); Participación ciudadana en planificación</t>
  </si>
  <si>
    <t>PRC desactualizado (16 años) + 1.96 m²/hab áreas verdes</t>
  </si>
  <si>
    <t>PRC actualizado y aprobado + meta 4 m²/hab áreas verdes</t>
  </si>
  <si>
    <t>PRC implementado + 7 m²/hab áreas verdes + planificación territorial integral</t>
  </si>
  <si>
    <t>SECPLAN + DOM + Depto. Medio Ambiente</t>
  </si>
  <si>
    <t>Municipal + MINVU + SEREMI MINVU + GORE</t>
  </si>
  <si>
    <t>ODS 11, 13, 15</t>
  </si>
  <si>
    <t>Desarrollo de Viviendas Sociales 'Hogar Digno'</t>
  </si>
  <si>
    <t>Gestionar y ejecutar proyectos de vivienda social para reducir el déficit habitacional comunal, articulando subsidios MINVU, terrenos municipales y comités de vivienda organizados.</t>
  </si>
  <si>
    <t>El deficit habitacional de 5,9% (1.401 unidades) es uno de los más altos de la región, con campamento adyacente al cauce del Río Claro sin franjas de amortiguación. La expansión periférica sobre suelos agrícolas de alta calidad genera tensión territorial. El BIP destina $47 MM a vivienda y desarrollo urbano (4,2% de inversión total). La cobertura de agua potable es 93,1% (18a de 33, promedio regional 87,3%) y alcantarillado 75,1% (urbano 82,3% vs rural 51,4%, brecha 30,9 pp). El deficit habitacional es 1.401 unidades (5,9%, no 28,8% como datos previos; Censo INE 2024).</t>
  </si>
  <si>
    <t>Viviendas sociales construidas; Familias beneficiadas; Reducción déficit habitacional (%)</t>
  </si>
  <si>
    <t>Deficit habitacional 5,9% (1.401 unidades) + lista de espera extensa</t>
  </si>
  <si>
    <t>500 viviendas gestionadas + reducción déficit a 20%</t>
  </si>
  <si>
    <t>1,500 viviendas + déficit bajo 10% + integración social garantizada</t>
  </si>
  <si>
    <t>Depto. Vivienda + SECPLAN + DOM</t>
  </si>
  <si>
    <t>Municipal + MINVU + SERVIU + FNDR + GORE</t>
  </si>
  <si>
    <t>ODS 1, 11</t>
  </si>
  <si>
    <t>Plan Maestro de Urbanización Sostenible</t>
  </si>
  <si>
    <t>Elaborar plan maestro de urbanización sostenible que oriente el crecimiento urbano con infraestructura verde, conectividad, equipamiento comunitario y gestión integrada de recursos hídricos.</t>
  </si>
  <si>
    <t>El PRC desactualizado (16+ años) y la crisis hídrica (-30-35% precipitaciones) demandan planificación sostenible. La demanda hídrica es 220,8 hm3/año con oferta de 541 hm3/año, y la proyección al 2050 indica +2,2°C y -111 mm de precipitación. El BIP destina $297 MM a recursos hídricos (27% del total).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</si>
  <si>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Plan maestro elaborado y aprobado; Proyectos derivados en ejecución; Indicadores de sostenibilidad urbana</t>
  </si>
  <si>
    <t>Sin plan maestro de urbanización sostenible</t>
  </si>
  <si>
    <t>Plan maestro aprobado + primeros proyectos en ejecución</t>
  </si>
  <si>
    <t>Plan maestro implementado al 70% + indicadores de sostenibilidad positivos</t>
  </si>
  <si>
    <t>Municipal + MINVU + MOP + MMA + GORE</t>
  </si>
  <si>
    <t>ODS 6, 11, 13</t>
  </si>
  <si>
    <t>OE 4.1 Modernizar la Infraestructura Vial y de Conectividad</t>
  </si>
  <si>
    <t>Infraestructura Vialidad Comunal y Medio Ambiente</t>
  </si>
  <si>
    <t>Ciclovías Conectadas</t>
  </si>
  <si>
    <t>Diseñar y construir una red integrada de ciclovías que conecte barrios residenciales con centros de servicios, comercio y equipamiento, promoviendo movilidad sustentable.</t>
  </si>
  <si>
    <t>Rengo tiene 0 km de ciclovías para sus 65.786 habitantes, con densidad de &gt;4.000 hab/km2 en casco urbano que genera demanda de movilidad activa. Las precipitaciones disminuyeron 30-35% demandando reducción de emisiones, y la demanda hídrica total es 220,8 hm3/año con proyección de -111 mm al 2050. El BIP destina $172 MM a transporte (15,6%), con 245 proyectos históricos, pero ninguno de ciclovías. La Ley 18.695 art. 4 letra a sobre infraestructura vial y el ODS 13 de acción climática fundamentan la inversión en movilidad sustentable. La cobertura de agua potable es 93,1% (18a de 33, promedio regional 87,3%) y alcantarillado 75,1% (urbano 82,3% vs rural 51,4%, brecha 30,9 pp). El deficit habitacional es 1.401 unidades (5,9%, no 28,8% como datos previos; Censo INE 2024).</t>
  </si>
  <si>
    <t>Km de ciclovías construidos; Reducción de emisiones estimada; Uso diario de ciclovías</t>
  </si>
  <si>
    <t>0 km de ciclovías</t>
  </si>
  <si>
    <t>8 km red básica; 500 usuarios/día</t>
  </si>
  <si>
    <t>20 km red integrada; 2.000 usuarios/día; -15% emisiones transporte</t>
  </si>
  <si>
    <t>FNDR + MOP + MINVU + Municipal</t>
  </si>
  <si>
    <t>ODS 11, 13, 3</t>
  </si>
  <si>
    <t>Construir Avenida Libertad "Rosario que Queremos"</t>
  </si>
  <si>
    <t>Diseñar y construir la Avenida Libertad en Rosario como eje estructurante con ciclovía, veredas amplias, arborización y conectividad con Rengo urbano.</t>
  </si>
  <si>
    <t>Rosario (12.000 hab aprox.) carece de eje vial estructurante, con deficit habitacional de 5,9% (1.401 unidades) y conurbación incipiente Rengo-Rosario que requiere planificación. El BIP muestra concentración territorial extrema: Rosario tiene solo 72 proyectos ($8 MM) vs Rengo Centro con 776 ($960 MM, 87,2%). La brecha urbano-rural es reconocida por 82% de funcionarios municipales encuestados (n=116), y el PRC desactualizado (16+ años) no contempla ejes estructurantes. La Ley 18.695 art. 4 letra a sobre infraestructura y el ODS 10 fundamentan la inversión descentralizada. El patrimonio municipal paso de -$1.460M (2012) a +$9.400M (2023, +$10.860M), con transparencia CPLT mejorando de 16,41% a 97,89%. Sin embargo, el gasto corriente de 84,57% y gasto en personal de 74,0% (sobre umbral CGR de 70%) limitan inversion (SINIM 2024).</t>
  </si>
  <si>
    <t>Progreso de construcción (%); Satisfacción vecinal; Conectividad mejorada</t>
  </si>
  <si>
    <t>0% avance; sin diseño</t>
  </si>
  <si>
    <t>100% construida; 85% satisfacción; tiempo de viaje Rosario-Rengo -30%</t>
  </si>
  <si>
    <t>FNDR + MOP + GORE + Municipal</t>
  </si>
  <si>
    <t>ODS 9, 11, 10</t>
  </si>
  <si>
    <t>Mejoramiento Ruta H50 "Innovación y Seguridad"</t>
  </si>
  <si>
    <t>Modernizar la Ruta H50 con mejoras en pavimentación, señalética, iluminación y seguridad vial, mejorando la conectividad intercomunal de Rengo.</t>
  </si>
  <si>
    <t>La Ruta H50 es eje vial crítico para Rengo (65.786 hab.) que conecta con Rancagua a 23 km y articula distritos como Cesares (33.103 hab.) y Chapetón (9.500 hab.). El PRC lleva más de 16 años sin actualizar, y el BIP registra 245 proyectos de transporte (20,7%) con $172 MM de inversión, el sector con más proyectos. La tasa de materialización de proyectos cayó a 30,7% en el período 2014-2025, con 257 repostulaciones (61,2%). La encuesta ciudadana califica calles y tránsito con 2,82/5 (puntaje más bajo), exigiendo modernización conforme al ODS 9. La cobertura de agua potable es 93,1% (18a de 33, promedio regional 87,3%) y alcantarillado 75,1% (urbano 82,3% vs rural 51,4%, brecha 30,9 pp). El deficit habitacional es 1.401 unidades (5,9%, no 28,8% como datos previos; Censo INE 2024).</t>
  </si>
  <si>
    <t>Km modernizados; Reducción de accidentes; Satisfacción de usuarios</t>
  </si>
  <si>
    <t>Ruta H50 con tramos deteriorados</t>
  </si>
  <si>
    <t>5 km modernizados; 20% reducción accidentes</t>
  </si>
  <si>
    <t>100% ruta modernizada; 40% reducción accidentes; señalética completa</t>
  </si>
  <si>
    <t>MOP + FNDR + GORE</t>
  </si>
  <si>
    <t>ODS 9, 11, 3</t>
  </si>
  <si>
    <t>Paraderos Inteligentes "Todos Unidos"</t>
  </si>
  <si>
    <t>Instalar paraderos de transporte público con tecnología inteligente (pantallas informativas, carga USB, iluminación solar, WiFi) mejorando la experiencia del usuario.</t>
  </si>
  <si>
    <t>El transporte público carece de infraestructura moderna para 65.786 habitantes, con paraderos de diversas tipologías y distinto estado de conservación según el diagnóstico de espacio público. Los 7.256 PcD (12,1%) requieren paraderos accesibles conforme a la Ley 20.422, y el 62,5% de vulnerabilidad FONASA A+B depende del transporte público. Las empresas GALBUS y SERVIBUS con 6 líneas de colectivos sirven una comuna de 592 km2 con dispersión territorial significativa. La encuesta ciudadana califica calles y tránsito con 2,82/5, el más bajo, conforme al ODS 9. La estructura empresarial muestra 953 unidades en manufactura (1a regional, +256%), 834 en comercio (1a, +337%) y 714 en construccion (1a, +303%). Los 12.453 trabajadores en microempresas (78,3%) evidencian predominio de empleo en pequena escala (SINIM 2024).</t>
  </si>
  <si>
    <t>Paraderos inteligentes instalados; Satisfacción de usuarios; Reducción tiempos de espera percibidos</t>
  </si>
  <si>
    <t>Paraderos convencionales sin tecnología</t>
  </si>
  <si>
    <t>10 paraderos inteligentes; 80% satisfacción</t>
  </si>
  <si>
    <t>30 paraderos; 90% satisfacción; 100% accesibilidad universal</t>
  </si>
  <si>
    <t>FNDR + MTT + GORE + Municipal</t>
  </si>
  <si>
    <t>Rengo Conectado: Potenciando Movilidad</t>
  </si>
  <si>
    <t>Desarrollar proyectos integrales de movilidad urbana que incluyan transporte público, ciclovías, veredas accesibles y señalización inteligente para mejorar la conectividad interna.</t>
  </si>
  <si>
    <t>Rengo tiene 0 km de ciclovías y 7.256 PcD (12,1%) enfrentan barreras de movilidad en una comuna de 65.786 hab. con densidad de &gt;4.000 hab/km2 en casco urbano. El alcantarillado cubre 77% y la infraestructura vial requiere modernización, con BIP concentrado en Rengo Centro (87,2% de inversión, $960 MM). La encuesta ciudadana califica calles y tránsito con 2,82/5, el puntaje más bajo, y la Ley 20.422 exige accesibilidad universal. Las empresas GALBUS y SERVIBUS con 6 líneas de colectivos son insuficientes para la dispersión territorial de 592 km2 conforme al ODS 11. La estructura empresarial muestra 953 unidades en manufactura (1a regional, +256%), 834 en comercio (1a, +337%) y 714 en construccion (1a, +303%). Los 12.453 trabajadores en microempresas (78,3%) evidencian predominio de empleo en pequena escala (SINIM 2024).</t>
  </si>
  <si>
    <t>Proyectos de movilidad ejecutados; Reducción tiempos de desplazamiento; Accesibilidad mejorada</t>
  </si>
  <si>
    <t>Sin plan integral de movilidad</t>
  </si>
  <si>
    <t>Plan aprobado; 3 proyectos ejecutados</t>
  </si>
  <si>
    <t>10 proyectos ejecutados; 20% reducción tiempos; 100% veredas accesibles centro</t>
  </si>
  <si>
    <t>FNDR + MOP + MINVU + MTT + Municipal</t>
  </si>
  <si>
    <t>Soleras, Calles y Ciclovías "Construyendo el Rengo"</t>
  </si>
  <si>
    <t>Ejecutar un programa integral de pavimentación, soleras, cunetas y ciclovías en barrios y sectores con déficit vial, mejorando la calidad de vida y movilidad.</t>
  </si>
  <si>
    <t>Rengo tiene 0 km de ciclovías y múltiples calles sin pavimentar en periferias, con alcantarillado cubriendo solo 77% para 65.786 habitantes. El BIP registra 245 proyectos de transporte (20,7% del total) con $172 MM de inversión, evidenciando prioridad histórica del sector. Las licitaciones muestran 6,9% para construcción y obras, con tasa de éxito de solo 63% y 23,7% sin ofertas. La encuesta ciudadana califica calles y tránsito con 2,82/5, el puntaje más bajo, requiriendo inversión urgente conforme al ODS 9 y la Ley 18.695 art. 4 letra a. La cobertura de agua potable es 93,1% (18a de 33, promedio regional 87,3%) y alcantarillado 75,1% (urbano 82,3% vs rural 51,4%, brecha 30,9 pp). El deficit habitacional es 1.401 unidades (5,9%, no 28,8% como datos previos; Censo INE 2024).</t>
  </si>
  <si>
    <t>Km de ciclovías construidos; Calles mejoradas; Uso de ciclovías</t>
  </si>
  <si>
    <t>0 km ciclovías; calles sin pavimentar en periferias</t>
  </si>
  <si>
    <t>3 km ciclovías; 10 calles pavimentadas</t>
  </si>
  <si>
    <t>12 km ciclovías; 40 calles; red vial integrada</t>
  </si>
  <si>
    <t>FNDR + MINVU + SERVIU + Municipal</t>
  </si>
  <si>
    <t>ODS 9, 11, 13</t>
  </si>
  <si>
    <t>OE 4.2 Impulsar programas de regeneración barrial y mejoramiento de viviendas</t>
  </si>
  <si>
    <t>Apoyo al Mejoramiento de Viviendas Existentes</t>
  </si>
  <si>
    <t>Gestionar subsidios y programas de mejoramiento de viviendas existentes para familias vulnerables, incluyendo ampliación, reparación, mejoramiento de baños, cocinas y habitabilidad general.</t>
  </si>
  <si>
    <t>El 28,8% de déficit habitacional incluye viviendas con problemas de habitabilidad en una comuna con 5,4% de pobreza y 13,6% pobreza multidimensional. La vulnerabilidad FONASA A+B alcanza 62,5% y el Registro Social de Hogares muestra 58% de hogares bajo 40%. El BIP destina $47 MM a vivienda (4,2%). La cobertura de agua potable es 93,1% (18a de 33, promedio regional 87,3%) y alcantarillado 75,1% (urbano 82,3% vs rural 51,4%, brecha 30,9 pp). El deficit habitacional es 1.401 unidades (5,9%, no 28,8% como datos previos; Censo INE 2024).</t>
  </si>
  <si>
    <t>Viviendas mejoradas; Subsidios gestionados; Familias beneficiadas; Inversión en mejoramiento</t>
  </si>
  <si>
    <t>Gestión limitada de subsidios de mejoramiento</t>
  </si>
  <si>
    <t>300 viviendas mejoradas + gestión activa de subsidios MINVU</t>
  </si>
  <si>
    <t>1,000 viviendas mejoradas + programa permanente + estándar de habitabilidad comunal</t>
  </si>
  <si>
    <t>Depto. Vivienda + DIDECO + SECPLAN</t>
  </si>
  <si>
    <t>Municipal + MINVU + SERVIU + FNDR</t>
  </si>
  <si>
    <t>Creación y Restauración de Espacios Públicos 'Rengo Verde'</t>
  </si>
  <si>
    <t>Crear nuevos espacios públicos y restaurar los existentes con áreas verdes, mobiliario urbano, iluminación, juegos infantiles inclusivos y diseño participativo con la comunidad.</t>
  </si>
  <si>
    <t>Con 1,96 m2/hab de áreas verdes (OMS: 9-10 m2/hab), Rengo tiene déficit crítico: 60% césped amarillento, 70% plazas sin riego tecnificado, 50% plazas periféricas con suelo expuesto. La temperatura puede variar 20°C entre superficies al sol y bajo arbolado. La encuesta ciudadana califica plazas con 2,94/5. El 35,3% de hogares usa lena como combustible principal (Censo 2024) y la cobertura vegetal urbana es solo 13,1% (vs 82,0% rural). Los centros de reciclaje son calificados como deficientes, con containers mal etiquetados y sin educacion ambiental formal (Diagnostico Ambiental 2025).</t>
  </si>
  <si>
    <t>Espacios públicos creados/restaurados; Superficie de áreas verdes nuevas (m²); Participación comunitaria en diseño</t>
  </si>
  <si>
    <t>Déficit crítico de áreas verdes: 1.96 m²/hab</t>
  </si>
  <si>
    <t>15 espacios restaurados + 5 nuevos + meta 3.5 m²/hab</t>
  </si>
  <si>
    <t>40 espacios restaurados/nuevos + 6 m²/hab + sistema de mantención comunitaria</t>
  </si>
  <si>
    <t>SECPLAN + DOM + Depto. Medio Ambiente + Aseo y Ornato</t>
  </si>
  <si>
    <t>Municipal + MINVU + FNDR + GORE + CONAF</t>
  </si>
  <si>
    <t>Modernización Vial: Reconstrucción de Calles y Veredas</t>
  </si>
  <si>
    <t>Ejecutar plan integral de mejoramiento vial con reconstrucción de calles, veredas, accesibilidad universal, señalética y drenaje en sectores prioritarios de la comuna.</t>
  </si>
  <si>
    <t>La infraestructura vial deteriorada afecta movilidad para 65.786 hab. en una comuna con densidad de &gt;4.000 hab/km2 en casco urbano y &lt;30 hab/km2 en rural. El BIP destina $172 MM a transporte (15,6% de inversión) con 245 proyectos. La encuesta ciudadana califica calles y tránsito con 2,82/5 (puntaje más bajo). La cobertura de agua potable es 93,1% (18a de 33, promedio regional 87,3%) y alcantarillado 75,1% (urbano 82,3% vs rural 51,4%, brecha 30,9 pp). El deficit habitacional es 1.401 unidades (5,9%, no 28,8% como datos previos; Censo INE 2024).</t>
  </si>
  <si>
    <t>Kilómetros de calles reconstruidos; Veredas con accesibilidad universal; Inversión ejecutada</t>
  </si>
  <si>
    <t>Infraestructura vial con deterioro significativo en múltiples sectores</t>
  </si>
  <si>
    <t>20 km de calles reconstruidas + veredas accesibles en centro + drenaje</t>
  </si>
  <si>
    <t>60 km reconstruidos + 100% veredas accesibles + sistema de drenaje completo</t>
  </si>
  <si>
    <t>DOM + SECPLAN + Dirección Tránsito</t>
  </si>
  <si>
    <t>Municipal + MOP + SERVIU + FNDR + GORE</t>
  </si>
  <si>
    <t>ODS 9, 11</t>
  </si>
  <si>
    <t>Proceso de Vivienda Transparente 'Postulación Transparente'</t>
  </si>
  <si>
    <t>Implementar sistema transparente de gestión de postulaciones a vivienda social con plataforma digital, criterios objetivos de priorización, seguimiento en línea y rendición de cuentas a postulantes.</t>
  </si>
  <si>
    <t>Con deficit habitacional de 5,9% (1.401 unidades; Censo INE 2024) y transparencia CPLT de 97,89%, el proceso de asignacion debe ser objetivo. La Contraloria identifico gastos sin respaldo en 8 documentos y rendiciones deficientes durante 8 anos consecutivos (CGR Informe N 894-17). La encuesta ciudadana (n=119) demanda transparencia municipal. El patrimonio municipal paso de -$1.460M (2012) a +$9.400M (2023, +$10.860M), y el deficit se compone de 1.245 viviendas con hacinamiento critico, 264 irrecuperables y 524 allegados (Censo INE 2024; SINIM 2024).</t>
  </si>
  <si>
    <t>Postulaciones gestionadas en plataforma; Transparencia del proceso (%); Satisfacción de postulantes</t>
  </si>
  <si>
    <t>Proceso de postulación con baja digitalización y transparencia</t>
  </si>
  <si>
    <t>Plataforma digital operativa + criterios publicados + seguimiento en línea</t>
  </si>
  <si>
    <t>Sistema 100% transparente + auditoría externa + 0 reclamos por opacidad</t>
  </si>
  <si>
    <t>Depto. Vivienda + Informática + DIDECO</t>
  </si>
  <si>
    <t>Municipal + MINVU + SERVIU</t>
  </si>
  <si>
    <t>ODS 1, 11, 16</t>
  </si>
  <si>
    <t>Proyecto Espacio Bisquertt</t>
  </si>
  <si>
    <t>Desarrollar proyecto de regeneración urbana del Espacio Bisquertt como polo cultural, deportivo y comunitario, recuperando patrimonio arquitectónico e integrando equipamiento para la comunidad.</t>
  </si>
  <si>
    <t>El Espacio Bisquertt representa oportunidad de regeneracion urbana en una comuna con solo 1,96 m2/hab de areas verdes (OMS: 9-10 m2/hab) y cobertura vegetal urbana de 13,1% (Diagnostico MBHT 2025). La medialuna y galpon estan en deterioro critico, y la ex estacion ferroviaria (integracion 1865) tiene alto valor historico. El presupuesto cultural es solo 0,52% del gasto municipal, con gasto corriente de 84,57% limitando inversion. La encuesta ciudadana (n=119) revela 66% de identidad debil y el diagnostico NNA (n=21) arroja 0% de evaluacion positiva de la comuna, haciendo urgente la recuperacion de espacios emblematicos que fortalezcan sentido de pertenencia para los 65.786 habitantes (Censo INE 2024; Encuesta ciudadana n=119).</t>
  </si>
  <si>
    <t>Avance del proyecto (diseño/construcción); Superficie habilitada; Usuarios y actividades realizadas</t>
  </si>
  <si>
    <t>Espacio Bisquertt subutilizado sin proyecto de regeneración</t>
  </si>
  <si>
    <t>Diseño participativo aprobado + inicio de obras de primera etapa</t>
  </si>
  <si>
    <t>Espacio Bisquertt completamente habilitado + programación cultural/deportiva permanente</t>
  </si>
  <si>
    <t>SECPLAN + DOM + Depto. Cultura + Depto. Deportes</t>
  </si>
  <si>
    <t>Municipal + MINVU + CNCA + FNDR + GORE + MINDEP</t>
  </si>
  <si>
    <t>ODS 11, 16</t>
  </si>
  <si>
    <t>Regularización de Propiedades 'Seguridad Jurídica'</t>
  </si>
  <si>
    <t>Implementar programa de regularización de títulos de dominio y saneamiento de propiedades para familias que habitan viviendas sin escritura, otorgando seguridad jurídica y acceso a beneficios estatales.</t>
  </si>
  <si>
    <t>Muchas familias habitan viviendas sin título regularizado: el deficit habitacional de 5,9% (1.401 unidades) incluye propiedades informales. La expansión periférica con loteos discontinuos (décadas 1970-1990) y vacios urbanos persisten. La regularización permite acceder a subsidios MINVU en una comuna con 5,4% de pobreza. La cobertura de agua potable es 93,1% (18a de 33, promedio regional 87,3%) y alcantarillado 75,1% (urbano 82,3% vs rural 51,4%, brecha 30,9 pp). El deficit habitacional es 1.401 unidades (5,9%, no 28,8% como datos previos; Censo INE 2024).</t>
  </si>
  <si>
    <t>Propiedades regularizadas; Familias con título de dominio; Trámites de regularización gestionados</t>
  </si>
  <si>
    <t>Número significativo de propiedades sin regularizar</t>
  </si>
  <si>
    <t>300 propiedades regularizadas + convenio con Bienes Nacionales</t>
  </si>
  <si>
    <t>1,000 propiedades regularizadas + 100% catastro comunal + programa permanente</t>
  </si>
  <si>
    <t>Depto. Vivienda + Jurídica + DIDECO</t>
  </si>
  <si>
    <t>Municipal + Bienes Nacionales + SERVIU + CBR</t>
  </si>
  <si>
    <t>OE 4.2 Revitalizar Espacios Públicos y Equipamiento Comunal</t>
  </si>
  <si>
    <t>Feria Artesanal San Martín</t>
  </si>
  <si>
    <t>Establecer una feria artesanal permanente en el sector San Martín con infraestructura cubierta, servicios básicos y gestión asociativa para artesanos locales.</t>
  </si>
  <si>
    <t>Los artesanos de Rengo comercializan sin infraestructura formal; las 330 organizaciones comunitarias incluyen agrupaciones artesanales portadoras de saberes centenarios (fundación 1831). Las licitaciones municipales priorizan áreas verdes y parques (52 procesos, 5,2% de 1.000) pero sin espacios comerciales culturales asociados. La encuesta ciudadana (n=119) califica pérdida de identidad local como problema (29%) y cultura como prioridad PLADECO (41%). Los 3.813 habitantes de pueblos originarios (5,99%) aportan tradiciones artesanales que requieren espacios de comercialización conforme al ODS 11. El patrimonio municipal paso de -$1.460M (2012) a +$9.400M (2023, +$10.860M), con transparencia CPLT mejorando de 16,41% a 97,89%. Sin embargo, el gasto corriente de 84,57% y gasto en personal de 74,0% (sobre umbral CGR de 70%) limitan inversion (SINIM 2024).</t>
  </si>
  <si>
    <t>Artesanos participantes; Ingresos por ventas; Satisfacción de artesanos y visitantes</t>
  </si>
  <si>
    <t>Feria informal sin infraestructura</t>
  </si>
  <si>
    <t>1 feria permanente; 30 artesanos; infraestructura básica</t>
  </si>
  <si>
    <t>1 feria consolidada; 50 artesanos; $60M ventas/año</t>
  </si>
  <si>
    <t>DIDECO + DOM</t>
  </si>
  <si>
    <t>Municipal + SERCOTEC + CNCA</t>
  </si>
  <si>
    <t>ODS 1, 8, 11</t>
  </si>
  <si>
    <t>Mejora Servicios Públicos Básicos</t>
  </si>
  <si>
    <t>Instalar y mejorar baños públicos en puntos estratégicos de Rengo y Rosario con diseño accesible, mantenimiento regular y estándares sanitarios.</t>
  </si>
  <si>
    <t>La ausencia de baños públicos adecuados afecta a los 65.786 habitantes y visitantes; el diagnóstico de espacio público (57+ puntos georreferenciados) identifica déficit de mobiliario urbano generalizado. Los 7.256 PcD (12,1%) requieren baños accesibles conforme a la Ley 20.422, y 88 personas en situación de calle necesitan servicios sanitarios básicos. Las plazas y parques reciben calificación de 2,94/5 en encuesta ciudadana, parcialmente por falta de servicios. La vulnerabilidad FONASA A+B del 62,5% correlaciona con riesgo sanitario que los baños públicos mitigan conforme al ODS 6. El embalse del Rio Claro (10 M m3) y la Junta de Vigilancia (1.200 regantes, 74 anos de funcionamiento) son infraestructura critica. Las precipitaciones proyectadas caen -14,4% al 2050 y la sequia estival aumenta de 39,9% a 54,3% al 2065 (Diagnostico Climatico 2025).</t>
  </si>
  <si>
    <t>Baños públicos instalados/mejorados; Satisfacción de usuarios; Cumplimiento mantenimiento</t>
  </si>
  <si>
    <t>Baños públicos insuficientes y deteriorados</t>
  </si>
  <si>
    <t>5 baños mejorados/nuevos; protocolo mantenimiento</t>
  </si>
  <si>
    <t>15 baños operativos; 100% accesibles; 90% satisfacción</t>
  </si>
  <si>
    <t>Municipal + FNDR</t>
  </si>
  <si>
    <t>ODS 6, 11, 3</t>
  </si>
  <si>
    <t>Programa Municipal Arte Espacios Públicos</t>
  </si>
  <si>
    <t>Implementar un programa de arte comunitario en espacios públicos con murales, esculturas, intervenciones artísticas y mobiliario urbano creativo que transforme la imagen de la comuna.</t>
  </si>
  <si>
    <t>La encuesta NNA (n=21) arroja 0% de evaluación positiva de la comuna y 24% reporta violencia escolar recurrente, mientras el arte comunitario puede transformar espacios degradados. Las áreas verdes de 1,96 m2/hab con 50% de plazas periféricas con suelo expuesto y sitios eriazos entre Ruta 5 y línea férrea son puntos críticos de inseguridad. El presupuesto cultural es apenas 0,52% del gasto municipal, contrastando con 41% de menciones de cultura como prioridad ciudadana (n=119). La identidad débil percibida por 66% requiere intervenciones artísticas que fortalezcan el sentido de pertenencia conforme al ODS 11. Los delitos de armas crecieron 308% (de 13 a 53 casos), complementando el aumento en vida (+126%), drogas (+440%) y robos violentos (+107%). Los adultos mayores victimas 65+ crecieron +554% en vida y +567% en robos, siendo grupo mas vulnerable (Carabineros 2024).</t>
  </si>
  <si>
    <t>Proyectos de arte público ejecutados; Participación de artistas y comunidad; Percepción de mejora urbana</t>
  </si>
  <si>
    <t>0 programas de arte público municipal</t>
  </si>
  <si>
    <t>5 proyectos; 20 artistas; 3 barrios intervenidos</t>
  </si>
  <si>
    <t>20 proyectos; 50 artistas; 10 barrios; 80% percepción mejora</t>
  </si>
  <si>
    <t>Municipal + CNCA + Fondart + FNDR</t>
  </si>
  <si>
    <t>ODS 11, 4, 16</t>
  </si>
  <si>
    <t>Remodelación Plazas "+Verde +Recreativo"</t>
  </si>
  <si>
    <t>Transformar plazas y espacios públicos con diseño paisajístico, equipamiento recreativo, iluminación LED y accesibilidad universal, creando puntos de encuentro comunitario.</t>
  </si>
  <si>
    <t>Las áreas verdes de 1,96 m2/hab están muy por debajo del estándar OMS de 9-10 m2/hab, con 60% de césped amarillento, 50% de plazas periféricas sin cobertura vegetal y 70% sin riego tecnificado. La encuesta NNA (n=21) arroja 0% de evaluación positiva y la encuesta ciudadana califica plazas con 2,94/5, evidenciando insatisfacción transversal. La temperatura puede variar hasta 20°C entre superficies al sol y bajo arbolado, afectando la salud de los 10.528 pacientes crónicos del PSCV. El 80% de especies son exóticas, requiriendo diseño con flora nativa conforme al ODS 11 y la Ley 18.695 art. 4 letra c. La red de salud realiza 91.606 consultas medicas APS (3a regional, promedio 43.894) y 520.000 prestaciones anuales (+176% desde 2012). Los ESPA alcanzan 4.535 (+152% sobre promedio regional), demostrando capacidad de atencion que requiere consolidacion (SINIM 2024).</t>
  </si>
  <si>
    <t>Plazas remodeladas; Satisfacción vecinal; Tasa de utilización</t>
  </si>
  <si>
    <t>Plazas con deterioro y escaso equipamiento</t>
  </si>
  <si>
    <t>5 plazas remodeladas; 80% satisfacción</t>
  </si>
  <si>
    <t>15 plazas; 90% satisfacción; 100% con accesibilidad universal</t>
  </si>
  <si>
    <t>FNDR + MINVU + Municipal</t>
  </si>
  <si>
    <t>ODS 11, 3, 10</t>
  </si>
  <si>
    <t>Rengo Ciudad Inclusiva</t>
  </si>
  <si>
    <t>Implementar un programa integral de accesibilidad urbana con rampas, cruces peatonales adaptados, señalética braille, espacios inclusivos y mobiliario urbano accesible.</t>
  </si>
  <si>
    <t>Los 7.256 PcD (12,1%) enfrentan barreras de accesibilidad: el diagnóstico de espacio público (57+ puntos georreferenciados) identifica déficit de mobiliario urbano y mantención deficiente en plazas periféricas. El ranking SUBDERE ubicó a Rengo en puesto 11 de 33, con logro de 58,4% que debe mejorar incorporando estándares de inclusión conforme a la Ley 20.422. La vulnerabilidad en salud alcanza 62,5% (FONASA A+B) y los 8.796 adultos mayores (IE=72,1) requieren accesibilidad progresiva. La Ley 20.422 sobre igualdad de oportunidades e inclusión y el ODS 10 fundamentan la inversión. La red de salud realiza 91.606 consultas medicas APS (3a regional, promedio 43.894) y 520.000 prestaciones anuales (+176% desde 2012). Los ESPA alcanzan 4.535 (+152% sobre promedio regional), demostrando capacidad de atencion que requiere consolidacion (SINIM 2024).</t>
  </si>
  <si>
    <t>Rampas y cruces adaptados; Espacios inclusivos creados; Satisfacción de PcD</t>
  </si>
  <si>
    <t>Accesibilidad urbana deficiente</t>
  </si>
  <si>
    <t>50 rampas; 10 cruces adaptados; 5 espacios inclusivos</t>
  </si>
  <si>
    <t>200 rampas; 40 cruces; 100% centro accesible; 85% satisfacción PcD</t>
  </si>
  <si>
    <t>FNDR + SENADIS + MINVU + Municipal</t>
  </si>
  <si>
    <t>ODS 10, 11, 3</t>
  </si>
  <si>
    <t>Revitalización Mercado y Rodoviario</t>
  </si>
  <si>
    <t>Revitalizar el mercado municipal y terminal rodoviario de Rengo, integrando tradición y modernidad con mejoras en infraestructura, servicios y experiencia de usuario.</t>
  </si>
  <si>
    <t>El mercado y rodoviario son hitos urbanos de Rengo con infraestructura deteriorada, similar al patrón de 57 puntos georreferenciados con espacios inconclusos y mantención deficiente. Las licitaciones de construcción y obras representan 6,9% (69 de 1.000 procesos) con tasa de éxito de solo 63%. La inversión SECPLA creció de $2.000M a $20.000M (2012-2023), mostrando capacidad financiera para proyectos emblemáticos. La revitalización beneficia a las 4.829 empresas y las 330 organizaciones comunitarias conforme al ODS 8 y la ERD O'Higgins 2024-2036. La estructura empresarial muestra 953 unidades en manufactura (1a regional, +256%), 834 en comercio (1a, +337%) y 714 en construccion (1a, +303%). Los 12.453 trabajadores en microempresas (78,3%) evidencian predominio de empleo en pequena escala (SINIM 2024).</t>
  </si>
  <si>
    <t>Visitantes mensuales; Satisfacción de usuarios y comerciantes; Actividad económica generada</t>
  </si>
  <si>
    <t>Mercado y rodoviario con infraestructura deteriorada</t>
  </si>
  <si>
    <t>Proyecto de diseño; 20% avance obras</t>
  </si>
  <si>
    <t>100% revitalizado; 30% más visitantes; 85% satisfacción</t>
  </si>
  <si>
    <t>SECPLAN + DOM + DAF</t>
  </si>
  <si>
    <t>FNDR + GORE + Municipal + PPP</t>
  </si>
  <si>
    <t>ODS 8, 9, 11</t>
  </si>
  <si>
    <t>Sede UOH Ingeniería - Construcción Transparente</t>
  </si>
  <si>
    <t>Apoyar la construcción de la sede de Ingeniería de la Universidad de O'Higgins en Rengo con gestión municipal transparente, coordinación interinstitucional y seguimiento comunitario.</t>
  </si>
  <si>
    <t>La construcción de sede UOH en Rengo es estratégica para elevar el acceso a educación superior (actualmente 39%, brecha estructural) en una comuna con escolaridad de 11,1 años. La transparencia municipal CPLT mejoró de 16,41% (2012) a 97,89% (2023), facilitando gestión transparente del proyecto ante la ciudadanía. El IDHC educativo creció de 0,55 a 0,72 y la sede puede acelerar esta trayectoria para los 65.786 habitantes. La Contraloría emitió 24 instrumentos de control con 3 derivaciones penales, exigiendo estándares de probidad en obras emblemáticas conforme al ODS 4. El retiro en educacion media bajo a 1,51% (reduccion 69% desde 4,89% en 2009), evidenciando mejora en retencion. La cobertura municipal recupero de 64,32% (2011) a 75,41% (2024), mientras la matricula total comunal crecio 5,9% (de 12.752 a 13.510; SINIM 2024).</t>
  </si>
  <si>
    <t>Progreso de construcción (%); Transparencia en gestión; Cumplimiento de plazos</t>
  </si>
  <si>
    <t>Proyecto UOH en fase de planificación</t>
  </si>
  <si>
    <t>50% avance construcción; 100% transparencia</t>
  </si>
  <si>
    <t>100% construida; sede operativa; 1.000 estudiantes/año</t>
  </si>
  <si>
    <t>Alcaldía + SECPLAN</t>
  </si>
  <si>
    <t>MINEDUC + GORE + MOP + Municipal</t>
  </si>
  <si>
    <t>Zona Gastronómica Rengo "Conociendo los Sabores"</t>
  </si>
  <si>
    <t>Crear una zona gastronómica en el centro de Rengo con infraestructura adecuada, regulación sanitaria y promoción turística para emprendedores culinarios.</t>
  </si>
  <si>
    <t>Rengo posee tradición gastronómica campesina con 736 ha de viñas y 11.078 ha bajo riego, sustentando 4.541 unidades productivas agrícolas. La pobreza de 5,4% y multidimensional de 13,6% pueden reducirse con emprendimientos gastronómicos para una comuna con 4.829 empresas (1a en región). El BIP registra solo 5 proyectos de turismo/comercio (0,4%) con inversión prácticamente nula sobre $1.101 MM totales. La ERD O'Higgins 2024-2036 promueve gastronomía como eje de identidad territorial, y la Ley 18.695 art. 4 letra f faculta fomento productivo local. La estructura empresarial muestra 953 unidades en manufactura (1a regional, +256%), 834 en comercio (1a, +337%) y 714 en construccion (1a, +303%). Los 12.453 trabajadores en microempresas (78,3%) evidencian predominio de empleo en pequena escala (SINIM 2024).</t>
  </si>
  <si>
    <t>Establecimientos gastronómicos integrados; Turistas gastronómicos; Ingresos generados</t>
  </si>
  <si>
    <t>0 zonas gastronómicas formales</t>
  </si>
  <si>
    <t>1 zona; 15 establecimientos; 2.000 visitantes/mes</t>
  </si>
  <si>
    <t>1 zona consolidada; 25 establecimientos; 5.000 visitantes/mes</t>
  </si>
  <si>
    <t>SECPLAN + DOM + Oficina Turismo</t>
  </si>
  <si>
    <t>Municipal + SERCOTEC + FNDR</t>
  </si>
  <si>
    <t>Zona Gastronómica Rosario "Sabores Rosarinos"</t>
  </si>
  <si>
    <t>Crear una zona gastronómica en Rosario que ponga en valor la cocina tradicional local, con infraestructura adecuada y promoción turística.</t>
  </si>
  <si>
    <t>Rosario posee tradición gastronómica diferenciada y es el segundo centro urbano con 4.696 habitantes en una comuna con identidad débil percibida por 66% de los encuestados. La descentralización es prioridad: el BIP destina solo $8 MM a Rosario vs $960 MM a Rengo Centro (87,2%), evidenciando inequidad territorial. La encuesta funcionaria (n=116) reconoce la brecha territorial como problema en 82% de los casos, y las 330 organizaciones comunitarias incluyen agrupaciones gastronómicas. La ERD O'Higgins 2024-2036 promueve identidad territorial como eje de desarrollo conforme al ODS 8. El COSOC reporta limitaciones estructurales: requerimientos sin retroalimentacion y carencia de reconocimiento. La disposicion a participar es 49% afirmativa y 43% condicional, con 57% de ciudadania perteneciendo a alguna agrupacion (Encuesta ciudadana n=119; Etnografia Social 2025).</t>
  </si>
  <si>
    <t>Visitantes mensuales; Establecimientos gastronómicos; Impacto económico local</t>
  </si>
  <si>
    <t>0 zonas gastronómicas en Rosario</t>
  </si>
  <si>
    <t>1 zona; 10 establecimientos</t>
  </si>
  <si>
    <t>1 zona consolidada; 20 establecimientos; 3.000 visitantes/mes</t>
  </si>
  <si>
    <t>OE 4.3 Desarrollar red de ciclovías y promover movilidad sustentable</t>
  </si>
  <si>
    <t>Parque Urbano Las Delicias (Rosario)</t>
  </si>
  <si>
    <t>Diseñar y construir el Parque Urbano Las Delicias en sector Rosario, como espacio de recreación, deporte, áreas verdes, juegos infantiles y encuentro comunitario con diseño inclusivo y sostenible.</t>
  </si>
  <si>
    <t>Con solo 1,96 m2/hab de áreas verdes (OMS: 9-10 m2/hab) y Rosario como segundo centro urbano (4.696 hab.), nuevos parques son urgentes. El BIP concentra 87,2% de inversión en Rengo Centro; Rosario tiene solo 72 proyectos ($8 MM). Las plazas y parques reciben calificación de 2,94/5 en encuesta ciudadana. El 35,3% de hogares usa lena como combustible principal (Censo 2024) y la cobertura vegetal urbana es solo 13,1% (vs 82,0% rural). Los centros de reciclaje son calificados como deficientes, con containers mal etiquetados y sin educacion ambiental formal (Diagnostico Ambiental 2025).</t>
  </si>
  <si>
    <t>Avance de diseño y construcción; Superficie de área verde (m²); Usuarios del parque</t>
  </si>
  <si>
    <t>Terreno disponible sin proyecto de parque</t>
  </si>
  <si>
    <t>Diseño aprobado + inicio de construcción + primera etapa habilitada</t>
  </si>
  <si>
    <t>Parque completo operativo + equipamiento deportivo + áreas verdes consolidadas</t>
  </si>
  <si>
    <t>Municipal + MINVU + FNDR + GORE + MINDEP</t>
  </si>
  <si>
    <t>Red de Transporte Público y Movilidad Sustentable</t>
  </si>
  <si>
    <t>Gestionar mejoramiento del transporte público comunal con nuevas rutas, frecuencias, paraderos accesibles, ciclovías y promoción de movilidad sustentable conectando localidades con centro urbano.</t>
  </si>
  <si>
    <t>La conectividad territorial es esencial: Rengo tiene 65.786 hab. dispersos con 14,6% de ruralidad y 0 km de ciclovías formales. El transporte público es insuficiente con empresas GALBUS y SERVIBUS entrevistadas y 6 líneas de colectivos. La encuesta ciudadana califica calles/tránsito con 2,82/5 y los 7.256 PcD requieren accesibilidad. La estructura empresarial muestra 953 unidades en manufactura (1a regional, +256%), 834 en comercio (1a, +337%) y 714 en construccion (1a, +303%). Los 12.453 trabajadores en microempresas (78,3%) evidencian predominio de empleo en pequena escala (SINIM 2024).</t>
  </si>
  <si>
    <t>Rutas de transporte público; Ciclovías construidas (km); Paraderos accesibles; Frecuencia de servicios</t>
  </si>
  <si>
    <t>Transporte público insuficiente + 0 km de ciclovías formales</t>
  </si>
  <si>
    <t>3 nuevas rutas + 5 km ciclovías + paraderos accesibles en centro</t>
  </si>
  <si>
    <t>Red integrada de transporte + 20 km ciclovías + movilidad eléctrica + 100% paraderos accesibles</t>
  </si>
  <si>
    <t>Dirección Tránsito + SECPLAN + DOM</t>
  </si>
  <si>
    <t>Municipal + MTT + DTPR + FNDR + GORE</t>
  </si>
  <si>
    <t>OE 4.3 Movilidad urbana sustentable</t>
  </si>
  <si>
    <t>Mitigacion Climatica</t>
  </si>
  <si>
    <t>Plan Comunal de Movilidad Sustentable y Baja en Carbono</t>
  </si>
  <si>
    <t>Disenar e implementar plan de movilidad que priorice transporte publico electrico, movilidad activa e infraestructura ciclo-inclusiva.</t>
  </si>
  <si>
    <t>El PACCC identifica el transporte como segundo emisor mas importante de Cachapoal. Dependencia de transporte privado y publico a combustion. Trama vial de baja capacidad para flujos intra e intercomunales. Parque Solar Rengo (9.000 paneles bifaciales, 8,09 MWp) genera 17 GWh/ano con potencial de electrificacion. Las emisiones de energia estacionaria son 67,46 ktCO2e (Alcance 1), primer emisor comunal.</t>
  </si>
  <si>
    <t>Plan de Movilidad aprobado; km ciclovias; % flota publica electrica</t>
  </si>
  <si>
    <t>Sin plan de movilidad sustentable; dependencia vehiculo privado</t>
  </si>
  <si>
    <t>Plan aprobado + 5 km ciclovias</t>
  </si>
  <si>
    <t>15 km ciclovias + inicio electrificacion flota</t>
  </si>
  <si>
    <t>Transito + SECPLAC + DOM</t>
  </si>
  <si>
    <t>Municipal + MTT + GORE + FNDR</t>
  </si>
  <si>
    <t>ODS 11, 13</t>
  </si>
  <si>
    <t>OE 4.3 Promover el Desarrollo Rural y la Sostenibilidad Ambiental</t>
  </si>
  <si>
    <t>Desarrollo Rural Integral "Rengo Apoya al Mundo Rural"</t>
  </si>
  <si>
    <t>Implementar un programa de desarrollo rural integral que mejore caminos, conectividad digital, acceso a agua potable y servicios básicos en localidades rurales.</t>
  </si>
  <si>
    <t>El 23% de la población comunal carece de alcantarillado (cobertura 77%) y la demanda hídrica es 220,8 hm3/año (95,3% para riego), con precipitaciones disminuidas 30-35%. Los distritos rurales como Chanqueahue (232,5 km2) y Popeta (142,9 km2) tienen &lt;30 hab/km2 con servicios limitados. La inversión rural del BIP es solo $113 MM (11,5% de $1.101 MM total), mientras Rengo Centro concentra 87,2% ($960 MM). La proyección climática indica -111 mm de precipitación al 2050, exigiendo infraestructura hídrica resiliente conforme a la Ley 18.695 art. 4 letra a y el ODS 6. La cobertura de agua potable es 93,1% (18a de 33, promedio regional 87,3%) y alcantarillado 75,1% (urbano 82,3% vs rural 51,4%, brecha 30,9 pp). El deficit habitacional es 1.401 unidades (5,9%, no 28,8% como datos previos; Censo INE 2024).</t>
  </si>
  <si>
    <t>Proyectos rurales ejecutados; Mejora en calidad de vida rural; Servicios básicos ampliados</t>
  </si>
  <si>
    <t>Sector rural con carencias de servicios básicos</t>
  </si>
  <si>
    <t>5 proyectos rurales; 500 familias beneficiadas</t>
  </si>
  <si>
    <t>15 proyectos; 2.000 familias; 95% agua potable; 90% alcantarillado</t>
  </si>
  <si>
    <t>SECPLAN + DOM + DIDECO</t>
  </si>
  <si>
    <t>FNDR + MOP + SUBDERE + INDAP + Municipal</t>
  </si>
  <si>
    <t>ODS 6, 9, 11</t>
  </si>
  <si>
    <t>Modernización Alumbrado LED</t>
  </si>
  <si>
    <t>Reemplazar el alumbrado público convencional por tecnología LED de alta eficiencia en toda la comuna, reduciendo consumo energético y mejorando la seguridad nocturna.</t>
  </si>
  <si>
    <t>La encuesta ciudadana (n=119) califica iluminación pública con 2,87/5 y seguridad del sector con 2,83/5, mientras la encuesta NNA reporta 24% de falta de iluminación como factor de inseguridad. Los 110 incendios forestales (2010-2018) y 5.620 casos totales de seguridad (incluidos 1.703 DMCS) evidencian necesidad de iluminación preventiva. El presupuesto municipal destina 84,57% a gasto corriente, requiriendo optimizar eficiencia energética con irradiancia solar de 5,3 kWh/m2/día. La Ley 18.695 art. 4 letra a y el ODS 7 fundamentan modernización del alumbrado público. Los delitos de armas crecieron 308% (de 13 a 53 casos), complementando el aumento en vida (+126%), drogas (+440%) y robos violentos (+107%). Los adultos mayores victimas 65+ crecieron +554% en vida y +567% en robos, siendo grupo mas vulnerable (Carabineros 2024).</t>
  </si>
  <si>
    <t>Luminarias LED instaladas; Reducción consumo energético (%); Mejora percepción de seguridad</t>
  </si>
  <si>
    <t>Alumbrado convencional en mayoría de la comuna</t>
  </si>
  <si>
    <t>40% luminarias LED; 25% reducción consumo</t>
  </si>
  <si>
    <t>100% LED; 50% reducción consumo; 80% percepción seguridad mejorada</t>
  </si>
  <si>
    <t>FNDR + Ministerio Energía + Municipal</t>
  </si>
  <si>
    <t>ODS 7, 11, 13</t>
  </si>
  <si>
    <t>Reforestación y Corredores Verdes</t>
  </si>
  <si>
    <t>Implementar un programa de reforestación urbana y rural con especies nativas, creando corredores verdes que conecten áreas naturales y mejoren la biodiversidad comunal.</t>
  </si>
  <si>
    <t>Las áreas verdes de 1,96 m2/hab están críticamente por debajo del estándar OMS de 9-10 m2/hab, con 80% de especies exóticas dominando el arbolado urbano regional. Las precipitaciones cayeron 30-35% degradando la cobertura vegetal, y 110 incendios forestales (2010-2018) afectaron 3.225 ha con 99,7% de origen antrópico. La superficie de bosque nativo es 19.340 ha (33% del territorio) con 99,68% de tipo esclerófilo amenazado. La contracción agrícola de 3.950 ha (-26%) exige corredores verdes compensatorios conforme al ODS 15 y la ERD O'Higgins 2024-2036. El embalse del Rio Claro (10 M m3) y la Junta de Vigilancia (1.200 regantes, 74 anos de funcionamiento) son infraestructura critica. Las precipitaciones proyectadas caen -14,4% al 2050 y la sequia estival aumenta de 39,9% a 54,3% al 2065 (Diagnostico Climatico 2025). La cobertura vegetal urbana es de solo 13,1% (vs 82,0% rural), con 80% de especies arboreas exoticas, requiriendo restauracion con flora nativa. (Fuente: SINIM 2024; Diagnostico PRC 2025; MBHT-MINVU)</t>
  </si>
  <si>
    <t>Árboles plantados; Corredores verdes creados (km); Participación comunitaria en reforestación</t>
  </si>
  <si>
    <t>1,96 m²/hab áreas verdes; cobertura vegetal degradada</t>
  </si>
  <si>
    <t>5.000 árboles; 3 corredores; 3 m²/hab</t>
  </si>
  <si>
    <t>20.000 árboles; 8 corredores; 5 m²/hab; biodiversidad +30%</t>
  </si>
  <si>
    <t>CONAF + Ministerio Medio Ambiente + FNDR + Municipal</t>
  </si>
  <si>
    <t>ODS 13, 15, 11</t>
  </si>
  <si>
    <t>Rengo Verde y Limpio: Energías Renovables</t>
  </si>
  <si>
    <t>Implementar un plan de sostenibilidad ambiental con energía solar en edificios públicos, puntos de reciclaje, compostaje comunitario y reducción de huella de carbono municipal.</t>
  </si>
  <si>
    <t>Las precipitaciones cayeron 30-35% respecto a la década de 1970, y se proyecta un aumento de +2,2°C en temperatura estival al 2050 con -111 mm de precipitación. La irradiancia solar de 5,3 kWh/m2/día ofrece alta potencialidad fotovoltaica para edificios municipales con 939 funcionarios. Las áreas verdes de 1,96 m2/hab y 80% de especies exóticas requieren estrategias ambientales integrales. El gasto corriente de 84,57% demanda eficiencia energética que reduzca costos operativos, conforme al ODS 7 y el eje ambiental de la ERD O'Higgins 2024-2036. El patrimonio municipal paso de -$1.460M (2012) a +$9.400M (2023, +$10.860M), con transparencia CPLT mejorando de 16,41% a 97,89%. Sin embargo, el gasto corriente de 84,57% y gasto en personal de 74,0% (sobre umbral CGR de 70%) limitan inversion (SINIM 2024).</t>
  </si>
  <si>
    <t>Energía renovable instalada (kW); Residuos reciclados (%); Puntos de reciclaje habilitados</t>
  </si>
  <si>
    <t>0 kW solar en edificios municipales; reciclaje informal</t>
  </si>
  <si>
    <t>50 kW solar; 15% reciclaje; 10 puntos limpios</t>
  </si>
  <si>
    <t>200 kW solar; 30% reciclaje; 25 puntos limpios; huella carbono -20%</t>
  </si>
  <si>
    <t>FNDR + Ministerio Energía + Ministerio Medio Ambiente + Municipal</t>
  </si>
  <si>
    <t>ODS 7, 12, 13</t>
  </si>
  <si>
    <t>OE 4.3 Red Ciclovias Comunal</t>
  </si>
  <si>
    <t>Infraestructura y MA</t>
  </si>
  <si>
    <t>Mejoramiento y Modernizacion de Paraderos en Ruta 5 Sur y Ejes Viales</t>
  </si>
  <si>
    <t>Modernizar paraderos de transporte publico en Ruta 5 Sur y ejes H-50/H-60 con diseno estandarizado, iluminacion solar, paneles informativos, bancas ergonomicas, accesibilidad universal y proteccion climatica.</t>
  </si>
  <si>
    <t>Diagnostico geoespacial: 6 paraderos rurales estado Regular con graffiti, vandalismo, disenos inconsistentes, sin informacion recorridos. Ruta 5 Sur: eje estructurante (114 km Santiago, 23 km Rancagua). Accidentes historicos en cruces: 1952, 1973, 1999. GALBUS, SERVIBUS + 6 lineas colectivos con brechas post-pandemia. (Fuente: Diagnostico Geoespacial 2025; Etnografia Social 2025)</t>
  </si>
  <si>
    <t>N paraderos modernizados; satisfaccion usuarios; accesibilidad</t>
  </si>
  <si>
    <t>6 paraderos rurales estado Regular</t>
  </si>
  <si>
    <t>15 paraderos modernizados Ruta 5 y H-50</t>
  </si>
  <si>
    <t>30 paraderos + info tiempo real</t>
  </si>
  <si>
    <t>DOM + Dir. Transito</t>
  </si>
  <si>
    <t>FNDR + MTT + Municipal</t>
  </si>
  <si>
    <t>Plan de Seguridad Vial en Cruces Criticos de Ruta 5 Sur</t>
  </si>
  <si>
    <t>Implementar pasarelas peatonales, semaforizacion inteligente, iluminacion LED, reductores de velocidad y senaletizacion preventiva en cruces criticos de Ruta 5 con trama urbana.</t>
  </si>
  <si>
    <t>Tragedias historicas en cruces Ruta 5: 1952 (tren-bus cruce Riquelme), 1973 (bus-ambulancia puente Mendoza), 1999 (bus escolar-camion). Delitos vida +126% (2005-2024). PRC 16 anos sin actualizar. Inseguridad: 70% problema principal (n=119). Ruta 5 cruza casco urbano generando conflictos vehiculo-peaton. (Fuente: FUENTE DE INFO PLADECO; Carabineros/CEAD 2024; Diagnostico PRC)</t>
  </si>
  <si>
    <t>N cruces intervenidos; reduccion accidentes %; pasarelas</t>
  </si>
  <si>
    <t>Cruces criticos sin intervencion sistematica</t>
  </si>
  <si>
    <t>5 cruces intervenidos + 2 pasarelas</t>
  </si>
  <si>
    <t>10 cruces + semaforizacion inteligente</t>
  </si>
  <si>
    <t>FNDR + MOP + Municipal</t>
  </si>
  <si>
    <t>Rutas Inter-Urbanas: Conectividad Vial Rengo-Rosario-Esmeralda</t>
  </si>
  <si>
    <t>Sistema de rutas inter-urbanas que conecte los 3 centros urbanos (Rengo 42.238, Rosario 12.000, Esmeralda 3.391) y localidades rurales, mejorando vialidad, senaletizacion, iluminacion y seguridad en ejes H-50, H-60 y caminos secundarios.</t>
  </si>
  <si>
    <t>Sistema policentrico con 3 centros + 22% rural disperso. Ruta H-50 requiere modernizacion. BIP: 245 proyectos Transporte (20,7%, $172 MM). Metrotren (2021, ~90 min Santiago) necesita alimentacion vial. Brecha accesibilidad: 0,582 urbano vs 0,356 rural. (Fuente: BIP/SNI 2025; SINIM 2024; MBHT-MINVU; Censo INE 2024)</t>
  </si>
  <si>
    <t>Km rutas mejoradas; reduccion tiempo desplazamiento; accidentes</t>
  </si>
  <si>
    <t>Rutas sin plan integrado</t>
  </si>
  <si>
    <t>20 km mejoradas + senaletizacion</t>
  </si>
  <si>
    <t>50 km + sistema transporte multimodal</t>
  </si>
  <si>
    <t>DOM + Dir. Transito + SECPLAN</t>
  </si>
  <si>
    <t>FNDR + MOP + MTT + Municipal</t>
  </si>
  <si>
    <t>OE 4.5 Plan Riesgo Hidrico Rio Claro</t>
  </si>
  <si>
    <t>R9: Ordenanza de Gestion de Riesgos y Emergencias</t>
  </si>
  <si>
    <t>Protocolos normativos ante sismos, inundaciones, sequias y eventos climaticos extremos (Ley 21.364).</t>
  </si>
  <si>
    <t>Sin plan gestion riesgos actualizado pese a Ley 21.364. Embalse 10 mill. m3. Crecidas sin plan mitigacion. 80% viviendas danadas terremoto 1985. 70% superficie inundada 1982. Precipitaciones proyectadas -14,4% al 2050.</t>
  </si>
  <si>
    <t>Ordenanza aprobada; protocolos</t>
  </si>
  <si>
    <t>Sin ordenanza emergencias</t>
  </si>
  <si>
    <t>Ordenanza + mapas riesgo + 2 simulacros</t>
  </si>
  <si>
    <t>4 simulacros/ano + actualizacion</t>
  </si>
  <si>
    <t>Proteccion Civil + DSP</t>
  </si>
  <si>
    <t>Municipal + SENAPRED</t>
  </si>
  <si>
    <t>Adaptacion Climatica</t>
  </si>
  <si>
    <t>Sistema Comunal de Alerta Temprana e Infraestructura Verde</t>
  </si>
  <si>
    <t>Implementar sistema que integre monitoreo hidrometeorologico, comunicacion efectiva, SBN para inundaciones y franjas de amortiguacion ribereña.</t>
  </si>
  <si>
    <t>El PACCC identifica como brecha principal la inexistencia de un Sistema Comunal de Alerta Temprana (SAT). 10 inundaciones fluviales en O'Higgins en 4 anos, incluyendo Rengo. Indice riesgo climatico por incendios en bosque nativo de 0,3791 (aumentando). 6 decretos de escasez hidrica. 36,41% superficie con erosion. El PCRRD contempla alertas pero su monitoreo se orienta al riesgo, no a emisiones ni biodiversidad.</t>
  </si>
  <si>
    <t>SAT operativo; N SBN implementadas; km franjas ribereñas</t>
  </si>
  <si>
    <t>Sin SAT; sin SBN implementadas</t>
  </si>
  <si>
    <t>SAT disenado + 3 SBN piloto</t>
  </si>
  <si>
    <t>SAT operativo + 10 SBN + franjas ribereñas</t>
  </si>
  <si>
    <t>Proteccion Civil + Aseo y Ornato + SECPLAC</t>
  </si>
  <si>
    <t>Municipal + SENAPRED + MOP + GORE</t>
  </si>
  <si>
    <t>OE 4.6 Fortalecer gestión ambiental comunal y adaptación al cambio climático</t>
  </si>
  <si>
    <t>Hogares Eficientes: Rehabilitación Energética de Viviendas</t>
  </si>
  <si>
    <t>Implementar programa de rehabilitación energética de viviendas existentes con aislación térmica, recambio de calefactores, eficiencia energética y mejoramiento de envolvente térmica.</t>
  </si>
  <si>
    <t>La pobreza de 5,4% y viviendas con baja eficiencia térmica afectan calidad de vida, con temperatura invernal mínima hasta 2°C y heladas frecuentes en zonas rurales. La irradiancia solar de 5,3 kWh/m2/día ofrece potencial para energía renovable. El 84,57% del presupuesto es gasto corriente, requiriendo eficiencia energética. La cobertura de agua potable es 93,1% (18a de 33, promedio regional 87,3%) y alcantarillado 75,1% (urbano 82,3% vs rural 51,4%, brecha 30,9 pp). El deficit habitacional es 1.401 unidades (5,9%, no 28,8% como datos previos; Censo INE 2024).</t>
  </si>
  <si>
    <t>Viviendas rehabilitadas energéticamente; Reducción de consumo energético; Familias beneficiadas</t>
  </si>
  <si>
    <t>Programa de recambio de calefactores limitado</t>
  </si>
  <si>
    <t>500 viviendas rehabilitadas + programa de aislación térmica masivo</t>
  </si>
  <si>
    <t>2,000 viviendas + estándar de eficiencia energética comunal + energía renovable</t>
  </si>
  <si>
    <t>Depto. Vivienda + Depto. Medio Ambiente + SECPLAN</t>
  </si>
  <si>
    <t>Municipal + MINVU + MMA + Ministerio Energía + GORE</t>
  </si>
  <si>
    <t>Programa de Rehabilitación Energética de Viviendas</t>
  </si>
  <si>
    <t>Ampliar programa de rehabilitación energética con enfoque en viviendas de familias vulnerables, integrando aislación, calefacción eficiente, paneles solares y educación en eficiencia energética.</t>
  </si>
  <si>
    <t>La pobreza energética afecta familias vulnerables (5,4% pobreza, 13,6% multidimensional). La temperatura invernal mínima alcanza 2°C con heladas frecuentes en zonas rurales (Popeta, Malambo, Lo de Lobo). La irradiancia solar de 5,3 kWh/m2/día permite rehabilitación con paneles solares.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</si>
  <si>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Viviendas con rehabilitación energética completa; Ahorro energético promedio; Paneles solares instalados</t>
  </si>
  <si>
    <t>Intervenciones energéticas puntuales sin programa integral</t>
  </si>
  <si>
    <t>400 viviendas con rehabilitación integral + 100 paneles solares</t>
  </si>
  <si>
    <t>1,500 viviendas + comunidades energéticas + net billing comunal</t>
  </si>
  <si>
    <t>Municipal + Ministerio Energía + MMA + MINVU + GORE</t>
  </si>
  <si>
    <t>OE 4.6 Gestion ambiental integral</t>
  </si>
  <si>
    <t>Desarrollar Parque Natural y Recreativo Huilquio como espacio de conservacion, recreacion y educacion ambiental en zona rural sur, con senderos interpretativos, areas de picnic, infraestructura deportiva y proteccion de ecosistemas nativos.</t>
  </si>
  <si>
    <t>Huilquio: localidad rural con 24 proyectos BIP ($4 MM). Deficit areas verdes 1,96 m2/hab. 145 ha bosque nativo perdido. 35,3% hogares usa lena. Precipitaciones -30-35%. PACCC: 67,46 ktCO2e emisiones. ERD prioriza sustentabilidad (L5). El parque contribuiria a cerrar la brecha de m2/hab y a crear un corredor ecologico en el eje sur. (Fuente: BIP/SNI 2025; PACCC Rengo; DGA)</t>
  </si>
  <si>
    <t>Hectareas parque; senderos km; visitantes/ano; especies protegidas</t>
  </si>
  <si>
    <t>Sin parque natural comunal</t>
  </si>
  <si>
    <t>Diseno aprobado + 20% construccion</t>
  </si>
  <si>
    <t>Parque operativo + 15.000 visitantes/ano</t>
  </si>
  <si>
    <t>SECPLAN + Unidad MA (por crear)</t>
  </si>
  <si>
    <t>FNDR + MMA + Municipal + PPP</t>
  </si>
  <si>
    <t>OE 4.6 Planes gestion ambiental</t>
  </si>
  <si>
    <t>Gestion Climatica</t>
  </si>
  <si>
    <t>Crear unidad formal con equipo tecnico dedicado (coordinador + profesional de apoyo), presupuesto basal y dependencia de SECPLAC, como condicion sine qua non del PACCC.</t>
  </si>
  <si>
    <t>El PACCC Rengo identifica la creacion de la Unidad de CC como la decision de mayor impacto politico y presupuestario. Sin ella, los 7 lineamientos y 20+ medidas del PACCC carecen de traccion operativa. Es la condicion de inicio del sistema MRV del PACCC y el indicador mas fiable del compromiso institucional con la agenda climatica. La LMCC (Ley 21.455) obliga a coherencia PACCC-PLADECO y actualizacion cuatrienal sincronizada.</t>
  </si>
  <si>
    <t>Unidad creada con dotacion operativa; N medidas PACCC con avance verificado</t>
  </si>
  <si>
    <t>Sin Unidad de CC; PACCC sin traccion institucional</t>
  </si>
  <si>
    <t>Unidad creada + 3 medidas PACCC en ejecucion</t>
  </si>
  <si>
    <t>Unidad consolidada + 70% medidas con avance</t>
  </si>
  <si>
    <t>SECPLAC + Alcaldia</t>
  </si>
  <si>
    <t>Municipal + GORE + MMA</t>
  </si>
  <si>
    <t>ODS 13, 17</t>
  </si>
  <si>
    <t>Plan Comunal de Seguridad Hidrica y Gobernanza del Agua</t>
  </si>
  <si>
    <t>Constituir Mesa Tecnica de Agua que articule DGA, CNR, INDAP, Juntas de Vigilancia y OUA con el municipio para gobernanza hidrica comunal.</t>
  </si>
  <si>
    <t>Segun el PACCC, la eficiencia hidrica es el objetivo de mayor urgencia diagnostica. Rio Claro es el principal curso; Rengo ha tenido 6 decretos de escasez hidrica desde 2006. Demanda de agua 220,8 hm3/ano. Solo 92,4% saneamiento urbano con deficit rural critico. 38% de UPAs con mas de 20 ha. 439 ha humedales rurales. Perdida de 145 ha bosque nativo (2001-2021). 2 SHAC, uno en Zona de Prohibicion. Sin mecanismo de gobernanza comunal del agua.</t>
  </si>
  <si>
    <t>Mesa Tecnica constituida; N predios con tecnologias eficientes; hectareas con riego tecnificado</t>
  </si>
  <si>
    <t>Sin gobernanza hidrica comunal; 6 decretos escasez</t>
  </si>
  <si>
    <t>Mesa Tecnica operativa + 50 predios con riego eficiente</t>
  </si>
  <si>
    <t>Modelo gobernanza hidrica consolidado + 200 predios</t>
  </si>
  <si>
    <t>SECPLAC + Aseo y Ornato + DGA</t>
  </si>
  <si>
    <t>Municipal + CNR + INDAP + GORE</t>
  </si>
  <si>
    <t>ODS 6, 13</t>
  </si>
  <si>
    <t>Programa de Eficiencia Energetica y Gestion de Residuos Circular</t>
  </si>
  <si>
    <t>Promover techos solares en edificios publicos, sistema comunal de reciclaje domiciliario fortalecido y evaluacion de biodigestores para residuos agropecuarios.</t>
  </si>
  <si>
    <t>El PACCC reporta: sector energia estacionaria 67,46 ktCO2e (Alcance 1, primer emisor); sector residuos 25,04 ktCO2e (tercer emisor). La Ley REP provee marco financiero para reciclaje. Parque Solar Rengo evita ~4.890 tCO2/ano. Centros de reciclaje convertidos en microbasurales segun diagnostico territorial. Gestion de residuos es competencia municipal directa (LOCM), de mayor viabilidad institucional.</t>
  </si>
  <si>
    <t>% reduccion consumo electrico municipal; toneladas recicladas/ano; N edificios con paneles solares</t>
  </si>
  <si>
    <t>Sin estrategia energetica municipal; centros reciclaje en microbasurales</t>
  </si>
  <si>
    <t>3 edificios con paneles + 500 ton recicladas/ano</t>
  </si>
  <si>
    <t>10 edificios + 2.000 ton + biodigestores evaluados</t>
  </si>
  <si>
    <t>Aseo y Ornato + DOM + SECPLAC</t>
  </si>
  <si>
    <t>Municipal + SEREMI Energia + Ley REP</t>
  </si>
  <si>
    <t>Programa de Restauracion Ecologica y Proteccion del Bosque Esclerofilo</t>
  </si>
  <si>
    <t>Restaurar al menos 70% de areas forestales incendiadas priorizando bosque esclerofilo, proteger humedales rurales y crear corredores biologicos.</t>
  </si>
  <si>
    <t>El PACCC documenta perdida de 145 ha de bosque nativo entre 2001-2021 (7,2 ha/ano). 36,41% de la superficie comunal presenta erosion moderada a muy severa. Rengo no cuenta con Areas Silvestres Protegidas. La expansion de bosque nativo del 3,9% (2013-2025) sugiere regeneracion espontanea con potencial como sumidero de carbono. El bosque esclerofilo es identificado en la vision PACCC como simbolo identitario de Rengo.</t>
  </si>
  <si>
    <t>% areas incendiadas restauradas; hectareas reforestadas; humedales protegidos</t>
  </si>
  <si>
    <t>Perdida 7,2 ha/ano; 36,41% erosion; sin areas protegidas</t>
  </si>
  <si>
    <t>30% restaurado + 2 humedales protegidos</t>
  </si>
  <si>
    <t>70% restaurado + corredores biologicos</t>
  </si>
  <si>
    <t>Aseo y Ornato + CONAF + SECPLAC</t>
  </si>
  <si>
    <t>Municipal + CONAF + MMA + FPA</t>
  </si>
  <si>
    <t>ODS 13, 15</t>
  </si>
  <si>
    <t>Eje 5: Seguridad Pública y Gestión de Riesgos y Emergencias</t>
  </si>
  <si>
    <t>OE 5.1 Aumentar la percepción de seguridad de NNA en espacios públicos</t>
  </si>
  <si>
    <t>Seguridad Pública Orden Público y Recuperación de Espacios Públicos</t>
  </si>
  <si>
    <t>Aplicación Móvil de Seguridad / SOSAFE</t>
  </si>
  <si>
    <t>Implementar y masificar aplicación móvil de seguridad ciudadana (SOSAFE o similar) que permita reportar delitos, emergencias y situaciones sospechosas en tiempo real con geolocalización.</t>
  </si>
  <si>
    <t>La tecnología móvil permite democratizar seguridad para 65.786 habitantes con creciente conectividad. Los 5.620 casos totales de seguridad y la encuesta ciudadana con 70% de percepción de inseguridad justifican alertas en tiempo real. Las cámaras de televigilancia crecieron de 8 (2012) a 80 (2023). Con 91,4% de hogares con internet y 14.191 conexiones fijas (Censo 2024), la cobertura digital permite masificar alertas, aunque solo 11% de ciudadania usa tramites online frecuentemente (Encuesta ciudadana n=119).</t>
  </si>
  <si>
    <t>Usuarios registrados en app; Reportes generados; Tiempo de respuesta ante alertas</t>
  </si>
  <si>
    <t>Sin aplicación de seguridad ciudadana implementada</t>
  </si>
  <si>
    <t>App operativa + 10,000 usuarios registrados + integración con central de monitoreo</t>
  </si>
  <si>
    <t>20,000 usuarios + sistema predictivo + integración con Carabineros</t>
  </si>
  <si>
    <t>Dirección Seguridad Pública + Informática</t>
  </si>
  <si>
    <t>Municipal + SPD + FNDR</t>
  </si>
  <si>
    <t>ODS 9, 11, 16</t>
  </si>
  <si>
    <t>Campañas de Educación y Prevención del Delito</t>
  </si>
  <si>
    <t>Desarrollar campañas comunicacionales de prevención del delito, autocuidado, denuncia segura y cultura de paz, utilizando medios tradicionales, redes sociales y actividades comunitarias.</t>
  </si>
  <si>
    <t>Las infracciones a ley de drogas aumentaron 440% y la percepción de inseguridad NNA alcanza 38% por consumo de alcohol/drogas en entorno. La encuesta ciudadana (n=119) muestra 70% de percepción de inseguridad como principal problema. Las campañas preventivas son complemento necesario a los 5.620 casos anuales de seguridad. Los delitos de armas crecieron 308% (de 13 a 53 casos), complementando el aumento en vida (+126%), drogas (+440%) y robos violentos (+107%). Los adultos mayores victimas 65+ crecieron +554% en vida y +567% en robos, siendo grupo mas vulnerable (Carabineros 2024).</t>
  </si>
  <si>
    <t>Campañas realizadas; Alcance en redes sociales; Participantes en actividades presenciales</t>
  </si>
  <si>
    <t>Campañas esporádicas sin estrategia comunicacional integrada</t>
  </si>
  <si>
    <t>4 campañas anuales + presencia permanente en redes + talleres comunitarios</t>
  </si>
  <si>
    <t>Estrategia comunicacional integral + evaluación de impacto + cultura preventiva instalada</t>
  </si>
  <si>
    <t>Dirección Seguridad Pública + Comunicaciones</t>
  </si>
  <si>
    <t>Municipal + SPD + SENDA</t>
  </si>
  <si>
    <t>ODS 16</t>
  </si>
  <si>
    <t>Red Comunitaria 'Rengo Yo Cuido Mi Barrio'</t>
  </si>
  <si>
    <t>Crear y fortalecer red de comités vecinales de seguridad ciudadana que articulen vigilancia comunitaria, comunicación con Carabineros y PDI, y prevención situacional en barrios de la comuna.</t>
  </si>
  <si>
    <t>La encuesta ciudadana (n=119) identifica inseguridad como principal problema (70%, 83 menciones) y las 330 organizaciones comunitarias activas proveen capital social articulable. Los 5.620 casos totales de seguridad incluyen 2.619 incivilidades (46,6%) y 1.703 DMCS (30,3%). La etnografía social con +50 entrevistas confirma inseguridad como preocupación transversal. Pese a que O'Higgins tiene tasa de crimen organizado de 52 por 100.000 (2a mas baja del pais vs 437 nacional), los delitos locales crecieron: vida +126%, drogas +440%, armas +308%. Solo 18-28% de victimas denuncia segun el MIPP (Carabineros 2024).</t>
  </si>
  <si>
    <t>Comités vecinales de seguridad activos; Reuniones mensuales de coordinación; Reducción de denuncias por sector</t>
  </si>
  <si>
    <t>Comités vecinales dispersos sin articulación formal</t>
  </si>
  <si>
    <t>30 comités activos + coordinación mensual con Carabineros</t>
  </si>
  <si>
    <t>60 comités + red digital de comunicación + reducción 20% denuncias</t>
  </si>
  <si>
    <t>Dirección Seguridad Pública + DIDECO</t>
  </si>
  <si>
    <t>Municipal + SPD + Carabineros + PDI</t>
  </si>
  <si>
    <t>Transformación Comunitaria: Recuperación de Espacios Públicos</t>
  </si>
  <si>
    <t>Recuperar y transformar espacios públicos deteriorados o abandonados mediante diseño urbano seguro (CPTED), iluminación, mobiliario, áreas verdes y apropiación comunitaria para prevención situacional.</t>
  </si>
  <si>
    <t>Con solo 1,96 m2/hab de áreas verdes y 50% de plazas periféricas con suelo expuesto, la recuperación de espacios es estrategia clave. La encuesta ciudadana (n=119) identifica inseguridad (70%) y contaminación/falta limpieza (41%) como principales problemas. Los sitios eriazos entre Ruta 5 y línea férrea son puntos críticos de inseguridad. Los delitos de armas crecieron 308% (de 13 a 53 casos), complementando el aumento en vida (+126%), drogas (+440%) y robos violentos (+107%). Los adultos mayores victimas 65+ crecieron +554% en vida y +567% en robos, siendo grupo mas vulnerable (Carabineros 2024).</t>
  </si>
  <si>
    <t>Espacios públicos recuperados; Superficie intervenida (m²); Percepción de seguridad en espacios recuperados</t>
  </si>
  <si>
    <t>Espacios públicos deteriorados sin estrategia CPTED</t>
  </si>
  <si>
    <t>10 espacios recuperados + iluminación LED en sectores críticos</t>
  </si>
  <si>
    <t>30 espacios recuperados + 100% sectores con iluminación + apropiación comunitaria</t>
  </si>
  <si>
    <t>Dirección Seguridad Pública + DOM + SECPLAN</t>
  </si>
  <si>
    <t>Municipal + SPD + FNDR + MINVU</t>
  </si>
  <si>
    <t>OE 5.2 Reducir la violencia intrafamiliar con enfoque integral de protección</t>
  </si>
  <si>
    <t>Centro de Atención Integral a Víctimas</t>
  </si>
  <si>
    <t>Crear centro de atención integral para víctimas de violencia intrafamiliar y delitos, ofreciendo apoyo psicológico, jurídico, social y acompañamiento en procesos de denuncia y reparación.</t>
  </si>
  <si>
    <t>La VIF registra 608 casos anuales con 78% contra mujeres (no 426 como datos previos), requiriendo dispositivo especializado. Los delitos contra la vida aumentaron 126% y las infracciones de drogas 440%. La encuesta ciudadana (n=119) prioriza seguridad con 63% de menciones (75 personas). El grupo etario mas afectado en VIF es mujeres 30-44 anos (175 casos, 28,7%). Los 22 ninos &lt;14 y 14 adolescentes 14-17 afectados evidencian impacto intergeneracional. Segun MIPP, solo 18-28% de victimas denuncia, sugiriendo prevalencia real 3-5 veces mayor (Carabineros 2024; MIPP).</t>
  </si>
  <si>
    <t>Víctimas atendidas integralmente; Tiempo promedio de respuesta; Tasa de seguimiento de casos</t>
  </si>
  <si>
    <t>Atención fragmentada en distintas reparticiones sin centro integrado</t>
  </si>
  <si>
    <t>1 centro operativo + equipo multidisciplinario + 300 atenciones/año</t>
  </si>
  <si>
    <t>Centro consolidado + sucursales en localidades + 600 atenciones/año</t>
  </si>
  <si>
    <t>Dirección Seguridad Pública + Oficina de la Mujer</t>
  </si>
  <si>
    <t>Municipal + SERNAMEG + SPD + GORE</t>
  </si>
  <si>
    <t>ODS 5, 16</t>
  </si>
  <si>
    <t>OE 5.3 Reducir robos violentos y delitos de mayor connotación social</t>
  </si>
  <si>
    <t>Cámaras de Televigilancia 'Todo Rengo Seguro'</t>
  </si>
  <si>
    <t>Expandir y modernizar la red de cámaras de televigilancia comunal con tecnología de alta definición, visión nocturna y conexión a central de monitoreo 24/7 para disuasión y apoyo a investigación.</t>
  </si>
  <si>
    <t>Las cámaras crecieron de 8 (2012) a 80 (2023), pero los 1.703 DMCS anuales y 166 robos violentos demandan expansión. La encuesta ciudadana prioriza seguridad con 63% de menciones y la inversión SECPLA creció de $2.000M a $20.000M. Los delitos contra la vida aumentaron 126%. Los delitos contra propiedad no violentos suman 1.222 (+22%), con 141 adultos mayores victimas (+355%). Los jovenes victimarios 14-17 en robos violentos representan 26,9% de agresores (14 de 52), requiriendo patrullaje focalizado (Carabineros 2024).</t>
  </si>
  <si>
    <t>Cámaras operativas; Cobertura territorial (%); Contribución a esclarecimiento de delitos</t>
  </si>
  <si>
    <t>Red de cámaras limitada y tecnología desactualizada</t>
  </si>
  <si>
    <t>80 cámaras HD + central de monitoreo 24/7 + cobertura sectores críticos</t>
  </si>
  <si>
    <t>200 cámaras inteligentes + cobertura 100% urbano + analítica de video</t>
  </si>
  <si>
    <t>Municipal + SPD + FNDR + GORE</t>
  </si>
  <si>
    <t>Fortalecimiento de Formación y Equipamiento en Seguridad</t>
  </si>
  <si>
    <t>Fortalecer la formación profesional y el equipamiento del personal de seguridad municipal, incluyendo capacitación en derechos humanos, mediación, tecnología y dotación de vehículos e implementos.</t>
  </si>
  <si>
    <t>Los 166 robos violentos y el aumento de 126% en delitos contra la vida requieren personal capacitado. La comuna cuenta con la Cuarta Comisaría con baja dotación policial, falta de vehículos y ausencia de drones. El presupuesto municipal destina 84,57% a gasto corriente con 939 funcionarios. Carabineros reporta baja dotacion policial en prevencion, y requiere drones para control de microtrafico y fotoradares para control de velocidad. Los victimarios identificados en delitos de vida suman 740 (576 hombres=77,8%; Carabineros 2024). La tasa de victimizacion alcanza 85,4 por 1.000 hab. y los delitos de armas crecieron 308% (de 13 a 53 casos), requiriendo capacitacion especializada. (Fuente: Carabineros/CEAD 2024; Plan Comunal Seguridad 2025; Encuesta ciudadana n=119)</t>
  </si>
  <si>
    <t>Personal capacitado; Horas de formación anual; Equipamiento renovado; Vehículos operativos</t>
  </si>
  <si>
    <t>Equipamiento básico y capacitación esporádica</t>
  </si>
  <si>
    <t>100% personal capacitado + renovación 50% equipamiento + 4 vehículos nuevos</t>
  </si>
  <si>
    <t>Programa formación continua + equipamiento completo + flota renovada</t>
  </si>
  <si>
    <t>Dirección Seguridad Pública + RRHH</t>
  </si>
  <si>
    <t>Fortalecimiento de Seguridad en Zonas Comerciales</t>
  </si>
  <si>
    <t>Implementar plan de seguridad focalizado en zonas comerciales de Rengo, con patrullajes a pie, cámaras, iluminación, coordinación con comerciantes y botones de pánico en locales.</t>
  </si>
  <si>
    <t>Los 1.703 DMCS incluyen 456 hurtos en zonas comerciales, con las 4.829 empresas comunales (1a en región) requiriendo protección. La tasa de adjudicación de licitaciones bajó de 84,8% a 71,6%, evidenciando impacto económico de la inseguridad. Los delitos contra la vida crecieron 126%. Los delitos de armas crecieron 308% (de 13 a 53 casos), complementando el aumento en vida (+126%), drogas (+440%) y robos violentos (+107%). Los adultos mayores victimas 65+ crecieron +554% en vida y +567% en robos, siendo grupo mas vulnerable (Carabineros 2024). La percepcion de inseguridad del 70% (encuesta n=119) afecta directamente la actividad economica de las 4.829 empresas comunales y la confianza inversora. (Fuente: Carabineros/CEAD 2024; Plan Comunal Seguridad 2025; Encuesta ciudadana n=119)</t>
  </si>
  <si>
    <t>Locales comerciales protegidos; Denuncias en zonas comerciales; Botones de pánico instalados</t>
  </si>
  <si>
    <t>Seguridad en zonas comerciales sin plan específico</t>
  </si>
  <si>
    <t>Plan operativo en centro de Rengo + 50 botones de pánico + patrullajes</t>
  </si>
  <si>
    <t>Cobertura en 100% zonas comerciales + sistema integrado + reducción 40% delitos</t>
  </si>
  <si>
    <t>Dirección Seguridad Pública + Desarrollo Económico</t>
  </si>
  <si>
    <t>Municipal + SPD + Cámara de Comercio</t>
  </si>
  <si>
    <t>ODS 8, 16</t>
  </si>
  <si>
    <t>Fortalecimiento de Vigilancia 'Plan Cuadrante Preventivo'</t>
  </si>
  <si>
    <t>Fortalecer el plan cuadrante de vigilancia preventiva municipal, ampliando cobertura territorial, frecuencia de patrullajes y coordinación operativa con Carabineros en sectores de mayor incidencia delictual.</t>
  </si>
  <si>
    <t>Los 1.703 DMCS incluyen 456 hurtos, 382 lesiones, 241 robos en lugar no habitado y 166 robos con violencia, concentrados en sectores específicos. Los delitos contra la vida crecieron 126% y los de drogas 440%. La focalización territorial permite optimizar recursos de la Cuarta Comisaría con baja dotación. Los delitos contra propiedad no violentos suman 1.222 (+22%), con 141 adultos mayores victimas (+355%). Los jovenes victimarios 14-17 en robos violentos representan 26,9% de agresores (14 de 52), requiriendo patrullaje focalizado (Carabineros 2024). La tasa de victimizacion de 85,4 por 1.000 hab. y la concentracion de delitos en zonas comerciales centrales requieren focalizacion territorial diferenciada. (Fuente: Carabineros/CEAD 2024; Plan Comunal Seguridad 2025; Encuesta ciudadana n=119)</t>
  </si>
  <si>
    <t>Cuadrantes operativos; Frecuencia de patrullajes por sector; Reducción de delitos por cuadrante</t>
  </si>
  <si>
    <t>Patrullajes sin sistematización por cuadrantes</t>
  </si>
  <si>
    <t>8 cuadrantes operativos + patrullajes diarios + mapa de calor delictual</t>
  </si>
  <si>
    <t>15 cuadrantes + patrullajes 24/7 + sistema predictivo de patrullaje</t>
  </si>
  <si>
    <t>Dirección Seguridad Pública</t>
  </si>
  <si>
    <t>Municipal + SPD + Carabineros</t>
  </si>
  <si>
    <t>Inversión Estratégica en Vehículos de Seguridad</t>
  </si>
  <si>
    <t>Renovar y ampliar la flota de vehículos de seguridad municipal, incluyendo patrullas, motocicletas, bicicletas y vehículos especializados para mejorar cobertura y capacidad de respuesta territorial.</t>
  </si>
  <si>
    <t>La capacidad de respuesta depende de movilidad operativa para cubrir 592 km2 de territorio comunal con 65.786 hab. La Cuarta Comisaría reporta falta de vehículos y drones. Los 5.620 casos anuales de seguridad y la dispersión entre distritos urbanos (79,2%) y rurales exigen flota adecuada. Los delitos de armas crecieron 308% (de 13 a 53 casos), complementando el aumento en vida (+126%), drogas (+440%) y robos violentos (+107%). Los adultos mayores victimas 65+ crecieron +554% en vida y +567% en robos, siendo grupo mas vulnerable (Carabineros 2024). La relacion de 65.786 hab. por comisaria es la mas alta del sector, requiriendo movilidad operativa para 592 km2 de territorio con distritos rurales de dificil acceso. (Fuente: Carabineros/CEAD 2024; Plan Comunal Seguridad 2025; Encuesta ciudadana n=119)</t>
  </si>
  <si>
    <t>Vehículos operativos; Tiempo de respuesta promedio; Cobertura territorial de patrullaje</t>
  </si>
  <si>
    <t>Flota vehicular limitada y con alto desgaste</t>
  </si>
  <si>
    <t>Renovación 60% flota + 4 vehículos nuevos + 6 motocicletas</t>
  </si>
  <si>
    <t>Flota completa renovada + vehículos eléctricos + 100% cobertura territorial</t>
  </si>
  <si>
    <t>Dirección Seguridad Pública + Administración</t>
  </si>
  <si>
    <t>Red Inteligente de Prevención con Inteligencia Artificial</t>
  </si>
  <si>
    <t>Implementar sistema de prevención del delito basado en inteligencia artificial, análisis predictivo de datos delictuales, reconocimiento de patrones y alertas tempranas para focalizar recursos preventivos.</t>
  </si>
  <si>
    <t>Con 1.703 DMCS anuales (166 robos violentos) y recursos limitados, la IA permite focalizar prevención. Los delitos contra la vida crecieron 126% y las infracciones de drogas 440%. El BIP destina solo $20 MM a seguridad pública (1,8% de inversión total de $1.101 MM), requiriendo optimización tecnológica. El BIP destina solo $20 MM a seguridad publica (1,8% de $1.101 MM total), con solo 27 registros (2,3%), evidenciando subinversion historica que la IA puede compensar al optimizar recursos existentes (Analisis BIP 2025).</t>
  </si>
  <si>
    <t>Alertas predictivas generadas; Precisión del sistema; Reducción de delitos en zonas focalizadas</t>
  </si>
  <si>
    <t>Sin sistema de análisis predictivo del delito</t>
  </si>
  <si>
    <t>Sistema piloto operativo + análisis de datos históricos + primeras alertas</t>
  </si>
  <si>
    <t>Sistema IA integrado + reducción 25% delitos en zonas focalizadas</t>
  </si>
  <si>
    <t>Municipal + SPD + FNDR + Universidades</t>
  </si>
  <si>
    <t>ODS 9, 16</t>
  </si>
  <si>
    <t>Refuerzo de Seguridad en Áreas Comerciales</t>
  </si>
  <si>
    <t>Complementar el plan de seguridad en áreas comerciales con estrategias de prevención situacional, diseño urbano seguro, mejoramiento de accesos y coordinación público-privada para entornos comerciales seguros.</t>
  </si>
  <si>
    <t>Los sectores comerciales periféricos y ferias (Feria La Piscina, Balmaceda) requieren estrategia complementaria de seguridad. Las licitaciones municipales priorizan áreas verdes y parques (52 procesos) pero sin CPTED integrado. El diagnóstico de espacio público identifica sitios eriazos como puntos críticos. Los 456 hurtos representan 26,8% de los DMCS, concentrandose en zonas comerciales. La densidad empresarial de 74,5 por 1.000 hab. (1a regional) justifica proteccion focalizada para mantener dinamismo economico (SINIM 2024; Carabineros 2024).</t>
  </si>
  <si>
    <t>Áreas comerciales intervenidas con CPTED; Mejoras de infraestructura realizadas; Satisfacción de comerciantes</t>
  </si>
  <si>
    <t>Áreas comerciales periféricas sin intervención de seguridad</t>
  </si>
  <si>
    <t>5 áreas comerciales intervenidas + mejoras de iluminación y accesos</t>
  </si>
  <si>
    <t>100% áreas comerciales con CPTED + evaluación periódica de seguridad</t>
  </si>
  <si>
    <t>ODS 8, 11, 16</t>
  </si>
  <si>
    <t>Sistema Integrado de Seguridad Pública</t>
  </si>
  <si>
    <t>Implementar sistema integrado de seguridad pública que articule cámaras de televigilancia, central de monitoreo, patrullajes preventivos y coordinación en tiempo real con Carabineros y PDI.</t>
  </si>
  <si>
    <t>Los 5.620 casos totales de seguridad incluyen 1.703 DMCS, 166 robos con violencia y 608 casos de VIF. Los delitos contra la vida crecieron 126% y los de drogas 440%. La encuesta ciudadana prioriza seguridad (63%) y funcionarios la ubican en 57%; se requiere sistema integrado con las 80 cámaras existentes. Las incivilidades son la unica categoria con reduccion (-4%, de 1.107 a 1.064 casos), evidenciando que prevencion situacional funciona. Los delitos contra propiedad no violentos crecieron 22% (de 1.002 a 1.222), con 141 adultos mayores victimas (+355%; Carabineros 2024).</t>
  </si>
  <si>
    <t>Delitos de mayor connotación social; Tiempo de respuesta ante emergencias; Cobertura de televigilancia</t>
  </si>
  <si>
    <t>Sistema de seguridad fragmentado sin integración tecnológica</t>
  </si>
  <si>
    <t>Central de monitoreo 24/7 + 50 cámaras + coordinación integrada</t>
  </si>
  <si>
    <t>Sistema inteligente con IA + 150 cámaras + reducción 30% delitos</t>
  </si>
  <si>
    <t>Municipal + SPD + FNDR + Carabineros + PDI</t>
  </si>
  <si>
    <t>OE 5.4 Convivencia escolar</t>
  </si>
  <si>
    <t>Seguridad Publica</t>
  </si>
  <si>
    <t>R6: Ordenanza de Seguridad y Convivencia Ciudadana</t>
  </si>
  <si>
    <t>Marco normativo integral para convivencia vecinal, uso espacio publico y prevencion conductas antisociales.</t>
  </si>
  <si>
    <t>5.620 casos seguridad. Delitos vida +126%, drogas +440%. 54,41% NNA inseguros. 608 VIF (78% mujeres). 70% inseguridad como problema principal (n=119). Bullying 23,75%. Solo 2 decretos (3,6%) en seguridad en corpus normativo.</t>
  </si>
  <si>
    <t>Sin ordenanza convivencia</t>
  </si>
  <si>
    <t>Ordenanza con protocolos</t>
  </si>
  <si>
    <t>Evaluacion percepcion bienal</t>
  </si>
  <si>
    <t>DSP + Juridica</t>
  </si>
  <si>
    <t>Municipal + SENDA</t>
  </si>
  <si>
    <t>OE 5.4 Mejorar convivencia escolar y reducir bullying en establecimientos educacionales</t>
  </si>
  <si>
    <t>Programa de Seguridad Escolar 'Protegiendo Nuestro Futuro'</t>
  </si>
  <si>
    <t>Implementar programa integral de seguridad escolar que incluya protocolos de prevención, mediación de conflictos, prevención de bullying y coordinación con Carabineros para entornos escolares seguros.</t>
  </si>
  <si>
    <t>La encuesta NNA (n=21) reporta 24% de violencia escolar recurrente y 52% la observa rara vez. El 38% identifica consumo de alcohol/drogas y 24% falta de iluminación como factores de inseguridad. Los 27 establecimientos municipales con 9.766 alumnos requieren programa integral de seguridad escolar. En seguridad NNA, 14% reporta presencia de pandillas, 24% falta de iluminacion, y 38% identifica consumo de alcohol/drogas como situacion de inseguridad principal. El 52% reporta violencia escolar rara vez y 19% nunca la ha experimentado (Diagnostico NNA n=21).</t>
  </si>
  <si>
    <t>Establecimientos con programa implementado; Casos de bullying reportados y atendidos; Índice de convivencia escolar</t>
  </si>
  <si>
    <t>Protocolos de seguridad escolar parciales sin programa integral</t>
  </si>
  <si>
    <t>100% establecimientos municipales con programa + mediadores escolares</t>
  </si>
  <si>
    <t>Programa extendido a establecimientos subvencionados + reducción 50% bullying</t>
  </si>
  <si>
    <t>DAEM + Dirección Seguridad Pública + OPD</t>
  </si>
  <si>
    <t>Municipal + MINEDUC + SPD + Carabineros</t>
  </si>
  <si>
    <t>ODS 4, 16</t>
  </si>
  <si>
    <t>OE 5.5 Implementar plan comunal de gestión del riesgo de desastres conforme Ley 21.364</t>
  </si>
  <si>
    <t>Plan Comunal de Emergencia (Gestión de Emergencias y Desastres)</t>
  </si>
  <si>
    <t>Activación COGRID Preventivo y Reactivo</t>
  </si>
  <si>
    <t>Implementar y mantener operativo el Comité de Gestión del Riesgo de Desastres (COGRID) comunal en modalidad preventiva permanente y reactiva ante emergencias, conforme Ley 21.364.</t>
  </si>
  <si>
    <t>La Ley 21.364 establece el COGRID como instancia obligatoria. Rengo tiene historial de desastres: terremoto 2010 (8,8 Richter dañó 80% viviendas en 1985), inundación 1982 (70% superficie), y 110 incendios forestales (2010-2018). Las sesiones preventivas regulares son mandatorias. Las sesiones preventivas del COGRID son mandatorias bajo Ley 21.364 para una comuna con historial de eventos: 1878 (inundacion), 1982 (70% superficie), 1985 (terremoto) y 110 incendios 2010-2018 (Diagnostico Riesgos 2025).</t>
  </si>
  <si>
    <t>Sesiones preventivas del COGRID realizadas; Tiempo de activación reactiva; Instituciones participantes</t>
  </si>
  <si>
    <t>COGRID con activación solo reactiva sin sesiones preventivas regulares</t>
  </si>
  <si>
    <t>COGRID con sesiones mensuales preventivas + protocolos actualizados</t>
  </si>
  <si>
    <t>COGRID modelo regional + sistema de alerta temprana + coordinación permanente</t>
  </si>
  <si>
    <t>Dirección Protección Civil + Alcaldía</t>
  </si>
  <si>
    <t>Municipal + SENAPRED + Carabineros + Bomberos + Salud</t>
  </si>
  <si>
    <t>ODS 11, 13, 17</t>
  </si>
  <si>
    <t>Centro de Gestión Social y Emergencias</t>
  </si>
  <si>
    <t>Crear centro de gestión social y emergencias que integre coordinación operativa, atención a damnificados, gestión de albergues y articulación de ayuda humanitaria en un espacio físico dedicado.</t>
  </si>
  <si>
    <t>Rengo carece de espacio dedicado a coordinación de emergencias, pese a historial de desastres: inundación 1982 (70% superficie), terremoto 2010 y 110 incendios forestales. La comuna tiene 592 km2 de territorio y distritos rurales de difícil acceso (Chanqueahue 232,5 km2, Popeta 142,9 km2). El embalse del Rio Claro (10 M m3) y la Junta de Vigilancia (1.200 regantes, 74 anos de funcionamiento) son infraestructura critica. Las precipitaciones proyectadas caen -14,4% al 2050 y la sequia estival aumenta de 39,9% a 54,3% al 2065 (Diagnostico Climatico 2025). La coordinacion entre los 939 funcionarios municipales y Carabineros requiere un centro operativo que integre los 5.620 casos anuales de seguridad con la gestion social. (Fuente: Carabineros/CEAD 2024; Plan Comunal Seguridad 2025; Encuesta ciudadana n=119)</t>
  </si>
  <si>
    <t>Centro operativo; Capacidad de albergue; Tiempo de activación de ayuda humanitaria</t>
  </si>
  <si>
    <t>Sin centro dedicado para gestión de emergencias</t>
  </si>
  <si>
    <t>Centro operativo habilitado + capacidad para 200 personas + protocolos</t>
  </si>
  <si>
    <t>Centro de gestión modelo + redundancia operativa + capacidad 500 personas</t>
  </si>
  <si>
    <t>Dirección Protección Civil + SECPLAN + DIDECO</t>
  </si>
  <si>
    <t>Municipal + SENAPRED + FNDR + GORE</t>
  </si>
  <si>
    <t>Coordinación Interinstitucional para Emergencias</t>
  </si>
  <si>
    <t>Fortalecer la coordinación interinstitucional para gestión de emergencias mediante convenios, protocolos conjuntos y ejercicios periódicos con Carabineros, Bomberos, Salud, SENAPRED y Fuerzas Armadas.</t>
  </si>
  <si>
    <t>La respuesta eficaz requiere coordinación interinstitucional: Rengo tiene 15 conexiones directas en red de similitud regional (umbral &gt;=68,5%). La Contraloria emitió 24 instrumentos de control en 15 años con 3 derivaciones al Ministerio Público. La Ley 21.364 mandata articulación permanente. El embalse del Rio Claro (10 M m3) y la Junta de Vigilancia (1.200 regantes, 74 anos de funcionamiento) son infraestructura critica. Las precipitaciones proyectadas caen -14,4% al 2050 y la sequia estival aumenta de 39,9% a 54,3% al 2065 (Diagnostico Climatico 2025).</t>
  </si>
  <si>
    <t>Convenios interinstitucionales vigentes; Ejercicios conjuntos realizados; Protocolos de coordinación actualizados</t>
  </si>
  <si>
    <t>Coordinación ad hoc sin convenios formales permanentes</t>
  </si>
  <si>
    <t>Convenios con 100% instituciones clave + 2 ejercicios conjuntos anuales</t>
  </si>
  <si>
    <t>Sistema de coordinación permanente + centro de mando unificado + interoperabilidad</t>
  </si>
  <si>
    <t>Municipal + SENAPRED + Carabineros + Bomberos + FFAA + Salud</t>
  </si>
  <si>
    <t>Establecimiento de Presupuesto Fijo para Emergencias</t>
  </si>
  <si>
    <t>Establecer partida presupuestaria fija anual para gestión de emergencias y desastres, garantizando recursos permanentes para prevención, respuesta y recuperación conforme Ley 21.364.</t>
  </si>
  <si>
    <t>La gestión de emergencias requiere recursos predecibles: el presupuesto municipal destina 84,57% a gasto corriente y el gasto en personal (74%) supera el umbral CGR de 70%. Los recursos no ejecutados se estiman en MM $3.526 anuales. La ejecución de inversiones cayó a 32,2% en 2024. La captacion de transferencias de solo 6,28% (promedio 13,89%) evidencia recursos sectoriales no capturados que podrian financiar gestion de emergencias. El superavit historico fue $2.085M (2021) con unico deficit en 2020 (-$50M, COVID-19; SINIM 2024).</t>
  </si>
  <si>
    <t>Presupuesto anual asignado a emergencias; Porcentaje del presupuesto municipal; Ejecución presupuestaria</t>
  </si>
  <si>
    <t>Sin partida presupuestaria fija para emergencias</t>
  </si>
  <si>
    <t>Partida fija equivalente al 2% presupuesto municipal + fondo de reserva</t>
  </si>
  <si>
    <t>3% presupuesto municipal + fondo de contingencia + seguros comunales</t>
  </si>
  <si>
    <t>Dirección Protección Civil + Finanzas + Alcaldía</t>
  </si>
  <si>
    <t>Fortalecimiento de Capacidad de Respuesta 'Rengo Resiliente'</t>
  </si>
  <si>
    <t>Fortalecer la capacidad de respuesta comunal ante emergencias y desastres mediante equipamiento, capacitación de brigadas, simulacros periódicos y articulación con SENAPRED y organismos de primera respuesta.</t>
  </si>
  <si>
    <t>Rengo enfrenta riesgos múltiples: 110 incendios forestales (2010-2018, 3.225 ha afectadas), inundaciones recurrentes (1878-2023, la de 1982 afectó 70% de la superficie) y precipitaciones -30-35%. La proyección de sequía estival aumenta de 39,9% a 54,3% al 2065. La Ley 21.364 exige plan comunal con capacidad articulada. La proyeccion climatica indica sequia estival aumentando de 39,9% a 54,3% al 2065, con temperatura +2,2 C en verano y -111 mm de precipitacion al 2050. La amplitud termica urbana (17,4 C) vs rural (12,1 C) agrava riesgo de incendios (Diagnostico Climatico 2025).</t>
  </si>
  <si>
    <t>Brigadas capacitadas; Simulacros realizados al año; Tiempo de activación del COE comunal</t>
  </si>
  <si>
    <t>Capacidad de respuesta básica sin plan estructurado según Ley 21.364</t>
  </si>
  <si>
    <t>Plan comunal aprobado + 10 brigadas + 4 simulacros anuales</t>
  </si>
  <si>
    <t>Sistema integral de respuesta + certificación SENAPRED + brigadas en 100% localidades</t>
  </si>
  <si>
    <t>Dirección Protección Civil + SECPLAN</t>
  </si>
  <si>
    <t>Municipal + SENAPRED + GORE + Bomberos + Cruz Roja</t>
  </si>
  <si>
    <t>Integración de Tecnologías para Emergencias 'Rengo Inteligente'</t>
  </si>
  <si>
    <t>Implementar tecnologías de monitoreo, alerta temprana y comunicación para gestión de emergencias, incluyendo sensores de nivel de agua, estaciones meteorológicas, sistemas de alerta masiva y drones.</t>
  </si>
  <si>
    <t>Las precipitaciones cayeron 30-35% y la demanda hídrica es 220,8 hm3/año con oferta de 541 hm3/año. Los 110 incendios forestales (2010-2018) y riesgo de inundación requieren monitoreo tecnológico. La irradiancia solar de 5,3 kWh/m2/día permite alimentar sensores con energía renovable. El embalse del Rio Claro (10 M m3) y la Junta de Vigilancia (1.200 regantes, 74 anos de funcionamiento) son infraestructura critica. Las precipitaciones proyectadas caen -14,4% al 2050 y la sequia estival aumenta de 39,9% a 54,3% al 2065 (Diagnostico Climatico 2025). Las 14.191 conexiones de internet fijas (5a de 33) y la irradiancia solar de 5,3 kWh/m2/dia permiten implementar una red de sensores autonomos con conectividad garantizada. (Fuente: Carabineros/CEAD 2024; Plan Comunal Seguridad 2025; Encuesta ciudadana n=119)</t>
  </si>
  <si>
    <t>Sensores y estaciones instalados; Alertas tempranas emitidas; Cobertura del sistema de alerta masiva</t>
  </si>
  <si>
    <t>Sin sistema tecnológico de monitoreo de riesgos</t>
  </si>
  <si>
    <t>5 estaciones meteorológicas + sistema de alerta masiva SMS + sensores en cauces</t>
  </si>
  <si>
    <t>Red completa de monitoreo + drones + sistema predictivo de riesgos</t>
  </si>
  <si>
    <t>Dirección Protección Civil + Informática</t>
  </si>
  <si>
    <t>Municipal + SENAPRED + FNDR + DMC + DGA</t>
  </si>
  <si>
    <t>Inversión Estratégica en Equipos de Emergencia 'Rengo Estratégico'</t>
  </si>
  <si>
    <t>Adquirir y mantener equipamiento especializado de emergencia incluyendo vehículos de rescate, motobombas, generadores, equipos de comunicación y herramientas de primera respuesta.</t>
  </si>
  <si>
    <t>La crisis hídrica (-30-35% precipitaciones) y los 110 incendios forestales (2010-2018) requieren equipamiento especializado. La inundación de 1982 afectó 70% de la superficie comunal y eventos similares ocurrieron en 2023. La zona precordillerana tiene riesgo muy alto de incendio forestal. El embalse del Rio Claro (10 M m3) y la Junta de Vigilancia (1.200 regantes, 74 anos de funcionamiento) son infraestructura critica. Las precipitaciones proyectadas caen -14,4% al 2050 y la sequia estival aumenta de 39,9% a 54,3% al 2065 (Diagnostico Climatico 2025). Las 21 manzanas criticas (BHT&lt;0,45) albergan 4.136 personas (7,1%) que requieren equipamiento de emergencia priorizado segun la MBHT. (Fuente: Carabineros/CEAD 2024; Plan Comunal Seguridad 2025; Encuesta ciudadana n=119)</t>
  </si>
  <si>
    <t>Equipos de emergencia adquiridos; Estado operativo del equipamiento; Capacidad de respuesta simultánea</t>
  </si>
  <si>
    <t>Equipamiento de emergencia básico e insuficiente</t>
  </si>
  <si>
    <t>Renovación 70% equipamiento + 2 vehículos de rescate + generadores</t>
  </si>
  <si>
    <t>Equipamiento completo según estándar SENAPRED + mantenimiento preventivo</t>
  </si>
  <si>
    <t>Dirección Protección Civil + Administración</t>
  </si>
  <si>
    <t>Mantenimiento de Infraestructura Crítica</t>
  </si>
  <si>
    <t>Implementar programa de mantenimiento preventivo y mejoramiento de infraestructura crítica comunal (puentes, caminos, sistemas de drenaje, redes de agua) para reducir vulnerabilidad ante desastres.</t>
  </si>
  <si>
    <t>El alcantarillado cubre 75,1% (urbano 82,3% vs rural 51,4%, brecha 30,9 pp; Censo INE 2024) y el agua potable 93,1% (18a de 33, promedio regional 87,3%), con infraestructura sismica vulnerable (terremoto 1985: 80% viviendas danadas). El BIP destina $297 MM a recursos hidricos (27,0% de inversion total de $1.101 MM) evidenciando prioridad historica. La inundacion de 1982 afecto 70% de superficie y eventos recurrentes continuan (2023). El deficit habitacional de 1.401 unidades (5,9%), compuesto por 1.245 con hacinamiento critico, 264 irrecuperables y 524 allegados, agrava la vulnerabilidad ante desastres (Censo INE 2024).</t>
  </si>
  <si>
    <t>Infraestructura crítica catastrada; Intervenciones de mantenimiento preventivo; Reducción de daños por emergencias</t>
  </si>
  <si>
    <t>Mantenimiento reactivo sin catastro de infraestructura crítica</t>
  </si>
  <si>
    <t>Catastro 100% infraestructura crítica + plan de mantenimiento preventivo anual</t>
  </si>
  <si>
    <t>Sistema de gestión de activos + mantenimiento predictivo + inversión en resiliencia</t>
  </si>
  <si>
    <t>DOM + Dirección Protección Civil + SECPLAN</t>
  </si>
  <si>
    <t>Municipal + MOP + FNDR + GORE</t>
  </si>
  <si>
    <t>Mapeo de Zonas de Evacuación 'Rengo Seguro'</t>
  </si>
  <si>
    <t>Elaborar y difundir mapeo completo de zonas de evacuación, rutas seguras, puntos de encuentro y albergues comunales, con señalética en terreno, material digital y capacitación comunitaria.</t>
  </si>
  <si>
    <t>La preparación ante evacuación es crítica: la inundación de 1982 afectó 70% de superficie comunal, y existen asentamientos sin franjas de amortiguación respecto al Río Claro. Los 65.786 habitantes en 592 km2 requieren rutas de evacuación diferenciadas para distritos urbanos (&gt;4.000 hab/km2) y rurales (&lt;30 hab/km2). Las 21 manzanas criticas (BHT&lt;0,45) albergan 4.136 personas (7,1%) que requieren rutas de evacuacion priorizadas, con 12 manzanas en zona urbana central (distrito 041, 2.318 hab.; Diagnostico MBHT 2025). Los distritos Chanqueahue (232,5 km2) y Popeta (142,9 km2) con densidad &lt;30 hab/km2 requieren rutas diferenciadas respecto a los distritos urbanos (&gt;4.000 hab/km2). (Fuente: Carabineros/CEAD 2024; Plan Comunal Seguridad 2025; Encuesta ciudadana n=119)</t>
  </si>
  <si>
    <t>Zonas de evacuación mapeadas; Señalética instalada; Población informada sobre rutas de evacuación</t>
  </si>
  <si>
    <t>Mapeo parcial de zonas de evacuación sin señalética ni difusión</t>
  </si>
  <si>
    <t>Mapeo 100% comuna + señalética en terreno + difusión digital y comunitaria</t>
  </si>
  <si>
    <t>Mapeo dinámico actualizado + app de evacuación + simulacros con rutas + albergues equipados</t>
  </si>
  <si>
    <t>Dirección Protección Civil + SECPLAN + DOM</t>
  </si>
  <si>
    <t>Municipal + SENAPRED + FNDR</t>
  </si>
  <si>
    <t>Plan de Apoyo Psicológico Post-Desastre 'Rengo Recupera'</t>
  </si>
  <si>
    <t>Crear plan de apoyo psicológico post-desastre para atención de salud mental de damnificados, brigadas de primera respuesta y comunidad afectada, con equipos especializados en crisis.</t>
  </si>
  <si>
    <t>Los desastres generan impacto psicológico severo: el terremoto de 2010 (8,8 Richter) destruyó centro histórico comercial y la inundación 1982 afectó 70% de la superficie. Los AVPP comunales aumentaron 46,3% (2018-2022) y el PSCV controla 10.528 pacientes crónicos. La red de salud con 63.240 beneficiarios requiere protocolo de crisis. La red de salud realiza 91.606 consultas medicas APS (3a regional, promedio 43.894) y 520.000 prestaciones anuales (+176% desde 2012). Los ESPA alcanzan 4.535 (+152% sobre promedio regional), demostrando capacidad de atencion que requiere consolidacion (SINIM 2024).</t>
  </si>
  <si>
    <t>Profesionales capacitados en primera ayuda psicológica; Personas atendidas post-emergencia; Protocolos de atención de crisis activos</t>
  </si>
  <si>
    <t>Sin plan formal de apoyo psicológico post-desastre</t>
  </si>
  <si>
    <t>Plan operativo + 20 profesionales capacitados + protocolo de activación</t>
  </si>
  <si>
    <t>Equipo permanente de crisis + red de apoyo comunitario + seguimiento a largo plazo</t>
  </si>
  <si>
    <t>Depto. Salud Municipal + Dirección Protección Civil</t>
  </si>
  <si>
    <t>Municipal + MINSAL + SENAPRED</t>
  </si>
  <si>
    <t>Planificación de Prevención por Temporada de Emergencia</t>
  </si>
  <si>
    <t>Desarrollar planes operativos diferenciados por temporada (invierno: inundaciones/temporales; verano: incendios forestales/sequía) con activación anticipada de recursos y alertas preventivas.</t>
  </si>
  <si>
    <t>La estacionalidad de emergencias requiere planificación diferenciada: 110 incendios forestales (2010-2018, pico enero-febrero) y precipitaciones concentradas en junio-julio (&gt;100 mm/mes). La proyección climática indica +2,2°C en verano y -111 mm de precipitación al 2050. La zona precordillerana tiene riesgo muy alto. El embalse del Rio Claro (10 M m3) y la Junta de Vigilancia (1.200 regantes, 74 anos de funcionamiento) son infraestructura critica. Las precipitaciones proyectadas caen -14,4% al 2050 y la sequia estival aumenta de 39,9% a 54,3% al 2065 (Diagnostico Climatico 2025). Las 21 manzanas criticas (BHT&lt;0,45) y los distritos rurales con densidad &lt;30 hab/km2 requieren planificacion estacional diferenciada para proteccion efectiva. (Fuente: Carabineros/CEAD 2024; Plan Comunal Seguridad 2025; Encuesta ciudadana n=119)</t>
  </si>
  <si>
    <t>Planes estacionales elaborados; Activaciones preventivas realizadas; Daños evitados respecto a temporadas anteriores</t>
  </si>
  <si>
    <t>Respuesta reactiva sin planificación estacional preventiva</t>
  </si>
  <si>
    <t>Planes operativos invierno y verano + activación preventiva 30 días antes</t>
  </si>
  <si>
    <t>Sistema de planificación estacional integrado + evaluación de riesgos dinámico</t>
  </si>
  <si>
    <t>Dirección Protección Civil</t>
  </si>
  <si>
    <t>Municipal + SENAPRED + CONAF + DOH</t>
  </si>
  <si>
    <t>Programa de Educación Comunitaria en Gestión de Desastres</t>
  </si>
  <si>
    <t>Implementar programa permanente de educación comunitaria en gestión de riesgos y desastres, con talleres, simulacros vecinales, material educativo y formación de líderes comunitarios en preparación.</t>
  </si>
  <si>
    <t>Con 330 organizaciones comunitarias activas y 49 JJVV urbanas entrevistadas, Rengo tiene capital social para formar red de preparación. La etnografía social realizó +50 entrevistas y el diagnóstico geoespacial cubrió 100 puntos en 4 zonas territoriales. La educación comunitaria construye resiliencia ante los 110 incendios forestales y riesgo de inundación. El embalse del Rio Claro (10 M m3) y la Junta de Vigilancia (1.200 regantes, 74 anos de funcionamiento) son infraestructura critica. Las precipitaciones proyectadas caen -14,4% al 2050 y la sequia estival aumenta de 39,9% a 54,3% al 2065 (Diagnostico Climatico 2025).</t>
  </si>
  <si>
    <t>Talleres comunitarios realizados; Líderes comunitarios formados; Vecinos participantes en simulacros</t>
  </si>
  <si>
    <t>Educación en gestión de desastres esporádica sin programa formal</t>
  </si>
  <si>
    <t>Programa en 100% JJVV + 50 líderes comunitarios formados + simulacros anuales</t>
  </si>
  <si>
    <t>Cultura de prevención instalada + 150 líderes + simulacros semestrales en toda la comuna</t>
  </si>
  <si>
    <t>Dirección Protección Civil + DIDECO</t>
  </si>
  <si>
    <t>Municipal + SENAPRED + ONEMI</t>
  </si>
  <si>
    <t>ODS 4, 11, 13</t>
  </si>
  <si>
    <t>Red de Voluntariado 'Voluntarios por Rengo'</t>
  </si>
  <si>
    <t>Crear y formalizar red comunal de voluntariado para emergencias, con capacitación certificada, seguro de accidentes, equipamiento básico y protocolos de activación para apoyo a primera respuesta.</t>
  </si>
  <si>
    <t>Con 330 organizaciones comunitarias activas y disposición a participar (49% afirmativa, 43% condicional según encuesta n=119), Rengo puede articular red de voluntarios. La encuesta NNA (n=21) muestra 100% disposición afirmativa a participar. Los 110 incendios forestales y riesgos de inundación requieren capacidad de respuesta ampliada. El 100% de NNA muestra disposicion afirmativa a participar (vs 49% ciudadania), y el 24% de NNA desea actividades de voluntariado, potencial para formacion de jovenes voluntarios en emergencias (Diagnostico NNA n=21).</t>
  </si>
  <si>
    <t>Voluntarios registrados y capacitados; Activaciones de la red; Horas de voluntariado en emergencias</t>
  </si>
  <si>
    <t>Voluntariado espontáneo sin red formal ni capacitación</t>
  </si>
  <si>
    <t>100 voluntarios capacitados + protocolo de activación + seguro de accidentes</t>
  </si>
  <si>
    <t>300 voluntarios + red territorial + certificación SENAPRED + equipamiento</t>
  </si>
  <si>
    <t>Municipal + SENAPRED + Cruz Roja + Bomberos</t>
  </si>
  <si>
    <t>Eje 6: Innovación y Modernización Gestión Municipal</t>
  </si>
  <si>
    <t>OE 6.1 Implementar sistema de monitoreo y evaluación de planes y programas municipales</t>
  </si>
  <si>
    <t>Innovación Modernización y Optimización de la Gestión Municipal</t>
  </si>
  <si>
    <t>Juzgado de Policía Local Innovador</t>
  </si>
  <si>
    <t>Modernizar el Juzgado de Policía Local con digitalización de expedientes, sistema de gestión de causas, mediación prejudicial, atención ciudadana mejorada y reducción de tiempos procesales.</t>
  </si>
  <si>
    <t>El Juzgado de Policía Local atiende una comuna de 65.786 hab. con 5.620 casos de seguridad y 2.619 incivilidades anuales. El diagnóstico normativo analiza 65 instrumentos y 55 decretos con 63,6% vigentes por más de 20 años. La modernización permite mejorar acceso a justicia local. Los delitos de armas crecieron 308% (de 13 a 53 casos), complementando el aumento en vida (+126%), drogas (+440%) y robos violentos (+107%). Los adultos mayores victimas 65+ crecieron +554% en vida y +567% en robos, siendo grupo mas vulnerable (Carabineros 2024). La modernizacion permite reducir tiempos de resolucion y mejorar acceso a justicia local para los 65.786 hab., conforme al ranking SUBDERE que situa a Rengo en posicion 11 de 33. (Fuente: CGR 2009-2024; SUBDERE 2023; Etnografia Institucional 2025)</t>
  </si>
  <si>
    <t>Causas ingresadas y resueltas; Tiempo promedio de resolución; Mediaciones exitosas; Satisfacción usuaria</t>
  </si>
  <si>
    <t>Gestión tradicional con expedientes físicos y tiempos prolongados</t>
  </si>
  <si>
    <t>Expediente digital + mediación prejudicial + reducción 30% tiempos</t>
  </si>
  <si>
    <t>Juzgado modelo + resolución en línea + justicia local accesible y eficiente</t>
  </si>
  <si>
    <t>Juzgado Policía Local + Informática</t>
  </si>
  <si>
    <t>Municipal + Poder Judicial + SUBDERE</t>
  </si>
  <si>
    <t>Mapa Comunal de Problemáticas 'Observando la Realidad'</t>
  </si>
  <si>
    <t>Crear sistema de mapeo georeferenciado de problemáticas comunales que permita visualizar, priorizar y monitorear necesidades territoriales en tiempo real con participación ciudadana.</t>
  </si>
  <si>
    <t>La planificación territorial requiere información georeferenciada: el diagnóstico PLADECO cubrió 826 manzanas censales en 47 localidades y 100 puntos de espacio público. Los índices compuestos (IVSH, IDDC, IBDT, IVFT, ICHT, IPSB) permiten focalización. El BIP concentra 87,2% de inversión en Rengo Centro.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</si>
  <si>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Problemáticas georeferenciadas; Sectores priorizados; Intervenciones realizadas según mapa</t>
  </si>
  <si>
    <t>Sin sistema de mapeo georeferenciado de problemáticas</t>
  </si>
  <si>
    <t>Plataforma GIS operativa + catastro de problemáticas + actualización trimestral</t>
  </si>
  <si>
    <t>Sistema en tiempo real + reportes ciudadanos integrados + planificación territorial basada en datos</t>
  </si>
  <si>
    <t>SECPLAN + Informática + DIDECO</t>
  </si>
  <si>
    <t>Municipal + SUBDERE + IGM</t>
  </si>
  <si>
    <t>Optimización Institucional: Menor Burocracia</t>
  </si>
  <si>
    <t>Simplificar y rediseñar procesos administrativos municipales para reducir burocracia, tiempos de tramitación y requisitos innecesarios, mejorando la experiencia del ciudadano y la eficiencia interna.</t>
  </si>
  <si>
    <t>El ranking SUBDERE cayó de 80% a 58,4% y la encuesta funcionaria (n=116) prioriza modernizar procesos (62%). Las licitaciones muestran 17,1% sin ofertas (171 casos) y 58,9% sin presupuesto publicado. La tasa de adjudicación bajó de 84,8% a 71,6% entre períodos, requiriendo simplificación administrativa. Las rendiciones deficientes por 8 anos consecutivos (2009-2017) y las instrucciones CGR cumplidas parcial o tardiamente reflejan problemas de procesos que la simplificacion administrativa debe resolver (CGR Informe N 894-17).</t>
  </si>
  <si>
    <t>Procesos rediseñados; Reducción de tiempos de tramitación; Documentos eliminados por simplificación</t>
  </si>
  <si>
    <t>Procesos burocráticos sin rediseño formal</t>
  </si>
  <si>
    <t>Rediseño de 20 procesos críticos + reducción 40% tiempos + ventanilla única</t>
  </si>
  <si>
    <t>100% procesos optimizados + automatización + cero papel en procesos internos</t>
  </si>
  <si>
    <t>Administración Municipal + SECPLAN + Informática</t>
  </si>
  <si>
    <t>Municipal + SUBDERE</t>
  </si>
  <si>
    <t>Planificación Estratégica Integral 'Municipio Coordinado'</t>
  </si>
  <si>
    <t>Implementar sistema de planificación estratégica integral que articule PLADECO, presupuesto municipal, planes sectoriales y evaluación de gestión en plataforma unificada de seguimiento.</t>
  </si>
  <si>
    <t>El ranking SUBDERE ubica a Rengo en puesto 11 de 33, cayendo de 80% (2018) a 58,4% (2023) de logro con nuevo instrumento de 26 ámbitos. El ICD evolucionó de 0,10 a 0,88, pero el PLADECO vigente tiene solo 40% de cumplimiento estimado. La planificación integrada permite alinear 65 instrumentos normativos y 55 decretos analizados. El patrimonio municipal paso de -$1.460M (2012) a +$9.400M (2023, +$10.860M), con transparencia CPLT mejorando de 16,41% a 97,89%. Sin embargo, el gasto corriente de 84,57% y gasto en personal de 74,0% (sobre umbral CGR de 70%) limitan inversion (SINIM 2024).</t>
  </si>
  <si>
    <t>Planes articulados en plataforma; Porcentaje de cumplimiento de metas PLADECO; Evaluaciones trimestrales realizadas</t>
  </si>
  <si>
    <t>Planificación sectorial desarticulada sin sistema de seguimiento</t>
  </si>
  <si>
    <t>Plataforma de seguimiento operativa + evaluación trimestral + tablero de gestión</t>
  </si>
  <si>
    <t>Sistema integral de planificación + evaluación en tiempo real + mejora continua</t>
  </si>
  <si>
    <t>SECPLAN + Administración Municipal</t>
  </si>
  <si>
    <t>ODS 16, 17</t>
  </si>
  <si>
    <t>Planificación Estratégica por Servicio: Municipio Coordinado y Eficiente</t>
  </si>
  <si>
    <t>Implementar planes estratégicos por dirección y departamento municipal, alineados al PLADECO, con indicadores de gestión, metas anuales y evaluación de desempeño por servicio.</t>
  </si>
  <si>
    <t>La gestión por resultados requiere planificación por servicio: el municipio tiene 939 funcionarios con 34,5% de profesionalización. El ranking SUBDERE cayó de 80% a 58,4% y el PLADECO vigente tiene 40% de cumplimiento estimado. La encuesta funcionaria (n=116) muestra solo 48% de percepción de relevancia laboral. El 48% de funcionarios no considera relevantes sus labores, 52% desconoce flujogramas y 66% conoce procedimientos, evidenciando necesidad de planes por servicio que clarifiquen roles y metas. El 87% cuenta con equipamiento adecuado (Encuesta funcionaria n=116).</t>
  </si>
  <si>
    <t>Direcciones con plan estratégico; Indicadores de gestión definidos; Evaluaciones de desempeño realizadas</t>
  </si>
  <si>
    <t>Gestión sin planes estratégicos por dirección</t>
  </si>
  <si>
    <t>100% direcciones con plan estratégico + indicadores + evaluación anual</t>
  </si>
  <si>
    <t>Sistema de gestión por resultados + benchmarking municipal + mejora continua</t>
  </si>
  <si>
    <t>SECPLAN + Administración Municipal + RRHH</t>
  </si>
  <si>
    <t>Recuperación Responsable: Proyectos Rezagados</t>
  </si>
  <si>
    <t>Identificar, evaluar y reactivar proyectos municipales rezagados o paralizados, estableciendo plan de recuperación con plazos, responsables y recursos para completar inversiones pendientes.</t>
  </si>
  <si>
    <t>El BIP registra 1.182 proyectos con 257 repostulaciones (61,2%) y tasa de materialización cayendo a 30,7% (2014-2025). Los recursos no ejecutados se estiman en MM $3.526 anuales y la ejecución de inversiones descendió de 76% (2018) a 32,2% (2024). El proyecto más costoso (BIP 30485264) equivale a 11,4% de toda la inversión. La brecha de materializacion alcanza $349 MM entre formulado y ejecutado. El HHI de fuentes financieras es 0,4112 (alta concentracion), con la Municipalidad formulando 750 registros (63,5% del total BIP), sugiriendo dependencia de fuente unica (Analisis BIP 2025).</t>
  </si>
  <si>
    <t>Proyectos rezagados catastrados; Proyectos reactivados; Inversión recuperada (pesos)</t>
  </si>
  <si>
    <t>Sin catastro formal de proyectos rezagados</t>
  </si>
  <si>
    <t>Catastro completo + reactivación de 80% proyectos viables + plan de recuperación</t>
  </si>
  <si>
    <t>100% proyectos rezagados resueltos + sistema de alerta temprana de atrasos</t>
  </si>
  <si>
    <t>SECPLAN + DOM + Administración Municipal</t>
  </si>
  <si>
    <t>Municipal + FNDR + GORE + Ministerios sectoriales</t>
  </si>
  <si>
    <t>Supervisión y Evaluación: Calidad Administrativa</t>
  </si>
  <si>
    <t>Crear unidad de supervisión y evaluación de calidad administrativa que realice auditorías de procesos, encuestas de satisfacción y mejoramiento continuo de servicios municipales.</t>
  </si>
  <si>
    <t>La encuesta ciudadana (n=119) califica servicios municipales entre 2,82 y 3,35/5, con seguridad del sector en 2,83/5 (más bajo). El ranking SUBDERE cayó de 80% a 58,4% con nuevo instrumento de 26 ámbitos (380 pts). La Contraloría emitió 24 instrumentos con hallazgos de control interno débil en 7 documentos. Las areas prioritarias de mejora segun SUBDERE son: Desarrollo de Estrategia, Enfoque de Genero y Gestion Local Participativa. Rengo mantiene 15 conexiones directas en red de similitud regional (umbral &gt;=68,5%), permitiendo benchmarking (SUBDERE 2023).</t>
  </si>
  <si>
    <t>Auditorías de procesos realizadas; Índice de satisfacción ciudadana; No conformidades resueltas</t>
  </si>
  <si>
    <t>Sin unidad formal de supervisión y calidad</t>
  </si>
  <si>
    <t>Unidad operativa + auditorías semestrales + encuesta anual de satisfacción</t>
  </si>
  <si>
    <t>Sistema de calidad certificado + mejora continua + satisfacción &gt;80%</t>
  </si>
  <si>
    <t>Administración Municipal + Contraloría Interna</t>
  </si>
  <si>
    <t>OE 6.1 Unidad M&amp;E PLADECO</t>
  </si>
  <si>
    <t>Innovacion Municipal</t>
  </si>
  <si>
    <t>Fortalecimiento Unidad de Control Interno</t>
  </si>
  <si>
    <t>Dotar a Control Interno de recursos, atribuciones y personal para cumplir mandato legal de fiscalizacion.</t>
  </si>
  <si>
    <t>CGR Informe N 894-17: Unidad de Control no cumple funcion normativa. Instrucciones CGR cumplidas parcial o tardiamente. 5 instrumentos de control sobre Edificio Consistorial en 4 anos. Ejecucion inversiones cayo de 76% a 32,2%.</t>
  </si>
  <si>
    <t>Unidad fortalecida; plan anual auditoria</t>
  </si>
  <si>
    <t>Unidad sin recursos ni atribuciones</t>
  </si>
  <si>
    <t>3+ profesionales y plan anual</t>
  </si>
  <si>
    <t>Auditoria integral anual</t>
  </si>
  <si>
    <t>Contraloria Interna + Alcaldia</t>
  </si>
  <si>
    <t>Planificacion Estrategica</t>
  </si>
  <si>
    <t>Integracion PACCC en PLADECO: Coherencia Climatica Explicita</t>
  </si>
  <si>
    <t>Incorporar la variable climatica como dimension estructurante del PLADECO, no como eje sectorial residual, articulando indicadores MRV del PACCC con el sistema de seguimiento PLADECO.</t>
  </si>
  <si>
    <t>El PACCC y el Diagnostico Institucional coinciden: la articulacion PACCC-PLADECO es una brecha critica (Nivel 1-Ausente). La LMCC (Ley 21.455) establece actualizacion cuatrienal sincronizada. La matriz de coherencia muestra que el PLADECO aparece como oportunidad de integracion en los 7 lineamientos PACCC. Sin integracion explicita, el PACCC se convierte en documento declarativo. Metricas climaticas minimas: emisiones GEI per capita, % cobertura boscosa, dias escasez hidrica, % medidas PACCC con avance.</t>
  </si>
  <si>
    <t>Capitulo climatico en PLADECO; indicadores MRV integrados; matriz coherencia cruzada</t>
  </si>
  <si>
    <t>PACCC vigente sin articulacion con PLADECO</t>
  </si>
  <si>
    <t>Capitulo climatico + 5 indicadores MRV</t>
  </si>
  <si>
    <t>Primera actualizacion sincronizada PACCC-PLADECO</t>
  </si>
  <si>
    <t>SECPLAN + Aseo y Ornato + Unidad CC</t>
  </si>
  <si>
    <t>Gestion Administrativa</t>
  </si>
  <si>
    <t>Sistema de Evaluacion de Ejecucion Presupuestaria y Plan de Compras</t>
  </si>
  <si>
    <t>Implementar informes de cumplimiento al cierre de cada ejercicio fiscal que comparen planificado vs ejecutado, con tasa de ejecucion del plan de compras.</t>
  </si>
  <si>
    <t>El Diagnostico Institucional identifica que no existen informes de cumplimiento de planes de compras de ejercicios anteriores. No hay indicadores de ejecucion presupuestaria ni metas de eficiencia financiera. IPP solo 34,6% del ingreso total; FCM 55,8%. Gastos corrientes absorben 82,1% del gasto total dejando margen reducido para inversion. Sin Plan de Inversiones Comunal ni priorizacion de proyectos basada en PLADECO.</t>
  </si>
  <si>
    <t>Tasa ejecucion Plan Compras; % ejecucion presupuestaria; reportes trimestrales</t>
  </si>
  <si>
    <t>Sin medicion de ejecucion</t>
  </si>
  <si>
    <t>Tasa ejecucion &gt;= 75% + 4 reportes/ano</t>
  </si>
  <si>
    <t>Tasa ejecucion &gt;= 90% + Plan Inversiones Comunal</t>
  </si>
  <si>
    <t>DAF + SECPLAN</t>
  </si>
  <si>
    <t>OE 6.2 Actualizar Politica RRHH</t>
  </si>
  <si>
    <t>Actualizacion Integral Politica de Recursos Humanos</t>
  </si>
  <si>
    <t>Actualizar Politica RRHH (Decreto 1248/2018) con genero, bienestar laboral, competencias digitales y plan sucesion.</t>
  </si>
  <si>
    <t>Politica RRHH 7 anos sin actualizar. 7 brechas criticas: sin perspectiva genero, sin bienestar laboral, sin competencias digitales, sin teletrabajo, Ley 20.922 parcial, sin indicadores RRHH, sin plan sucesion. 939 funcionarios, 34,5% profesionalizacion. Gasto personal 74,0%.</t>
  </si>
  <si>
    <t>Politica actualizada y aprobada</t>
  </si>
  <si>
    <t>Decreto 1248/2018 (7 anos)</t>
  </si>
  <si>
    <t>Politica con 7 brechas cerradas</t>
  </si>
  <si>
    <t>Evaluacion bienal + indicadores</t>
  </si>
  <si>
    <t>RRHH + Administracion</t>
  </si>
  <si>
    <t>ODS 5, 8, 16</t>
  </si>
  <si>
    <t>Proteccion Derechos Laborales</t>
  </si>
  <si>
    <t>Actualizacion Protocolo Acoso conforme Ley Karin (N 21.643)</t>
  </si>
  <si>
    <t>Actualizar Protocolo de Prevencion del Acoso (Dec. 1807/2023) incorporando violencia en el trabajo, extension a terceros, capacitacion semestral obligatoria y registro de denuncias.</t>
  </si>
  <si>
    <t>El Analisis Normativo identifica 5 brechas criticas y 3 menores respecto a la Ley Karin (vigente agosto 2024): (1) violencia en el trabajo no contemplada como categoria autonoma; (2) capacitacion semestral obligatoria no programada; (3) registro institucional de denuncias no evidenciado; (4) extension a contratistas/terceros insuficiente; (5) difusion semestral no programada. Riesgo: multas DT 5-100 UTM, demandas laborales, responsabilidad funcionaria. URGENCIA: 90 dias.</t>
  </si>
  <si>
    <t>Protocolo actualizado; % personal capacitado; N denuncias gestionadas en plazo</t>
  </si>
  <si>
    <t>Protocolo de nov-2023 pre-Ley Karin; 5 brechas criticas</t>
  </si>
  <si>
    <t>Protocolo actualizado + 100% capacitados</t>
  </si>
  <si>
    <t>2 capacitaciones semestrales/ano + registro digital</t>
  </si>
  <si>
    <t>Asesoria Juridica + RRHH</t>
  </si>
  <si>
    <t>Desarrollo Capital Humano</t>
  </si>
  <si>
    <t>Diagnostico de Brechas de Competencias y Plan Multi-Fuente de Capacitacion</t>
  </si>
  <si>
    <t>Realizar diagnostico de competencias del personal y desarrollar plan de capacitacion con fuentes diversificadas (SUBDERE + recursos propios + convenios universitarios).</t>
  </si>
  <si>
    <t>El Diagnostico Institucional identifica 4 brechas en capital humano: (1) dependencia exclusiva del Fondo SUBDERE sin otras fuentes; (2) ausencia de diagnostico de brechas de competencias; (3) desarticulacion con otros instrumentos (sin formacion en integridad, Ley Karin ni cambio climatico); (4) reglamento de capacitacion de 2011 con 14 anos sin actualizar (Dec. 0626/2011). El Plan de Capacitacion define areas prioritarias pertinentes pero no esta precedido de evaluacion de competencias actuales.</t>
  </si>
  <si>
    <t>Informe de brechas aprobado; N convenios universitarios; plan multi-fuente aprobado</t>
  </si>
  <si>
    <t>Sin diagnostico de brechas; fuente unica SUBDERE; reglamento 2011</t>
  </si>
  <si>
    <t>Diagnostico + 1 convenio + reglamento actualizado</t>
  </si>
  <si>
    <t>Plan multi-fuente + 2 convenios + 55% profesionalizacion</t>
  </si>
  <si>
    <t>RRHH + SECPLAN + DAF</t>
  </si>
  <si>
    <t>Municipal + SUBDERE + SENCE + universidades regionales</t>
  </si>
  <si>
    <t>ODS 4, 8</t>
  </si>
  <si>
    <t>Plan Convivencia Laboral y Cumplimiento Ley Karin (21.643)</t>
  </si>
  <si>
    <t>Capacitacion universal Ley 21.643, protocolos denuncia segura, intervencion microagresiones y seguimiento casos.</t>
  </si>
  <si>
    <t>43% funcionarios desconoce Ley Karin. 22% disputas laborales. 20% bromas desagradables. 4 casos acoso sexual (3%). DAEM 170+ sumarios activos. Encuesta (n=116): solo 48% percibe relevancia laboral.</t>
  </si>
  <si>
    <t>100% capacitados; protocolo operativo</t>
  </si>
  <si>
    <t>43% desconoce Ley Karin; 170+ sumarios</t>
  </si>
  <si>
    <t>100% capacitados + protocolo + canal</t>
  </si>
  <si>
    <t>Evaluacion clima anual</t>
  </si>
  <si>
    <t>RRHH + Juridica</t>
  </si>
  <si>
    <t>ODS 5, 8</t>
  </si>
  <si>
    <t>Plan de Profesionalizacion y Capacitacion Continua</t>
  </si>
  <si>
    <t>Programa de profesionalizacion progresiva de 34,5% a 55% al 2035 con convenios universitarios y SENCE.</t>
  </si>
  <si>
    <t>Profesionalizacion 34,5% (26 de 33 comunas). Solo 44 de 120 planta son profesionales (37%). 52% desconoce flujogramas. 62% demanda modernizacion. Contrata crecio +15,8% en 2023-2024. Gasto personal 74,0% del total ($46.235M).</t>
  </si>
  <si>
    <t>% profesionales; N capacitaciones/ano</t>
  </si>
  <si>
    <t>34,5% profesionalizacion</t>
  </si>
  <si>
    <t>45% + plan capacitacion anual</t>
  </si>
  <si>
    <t>55% + certificaciones</t>
  </si>
  <si>
    <t>RRHH + SECPLAN</t>
  </si>
  <si>
    <t>Municipal + SUBDERE + SENCE</t>
  </si>
  <si>
    <t>OE 6.2 Fortalecer capacidades del recurso humano municipal mediante capacitación y desarrollo profesional</t>
  </si>
  <si>
    <t>Equipo de Gobierno, Administración y Gestión</t>
  </si>
  <si>
    <t>Fortalecer el equipo directivo y de gestión municipal mediante selección por competencias, capacitación en liderazgo público, evaluación de desempeño y desarrollo de carrera funcionaria.</t>
  </si>
  <si>
    <t>La profesionalización municipal es 34,5% entre 939 funcionarios, con estructura de 49,5% planta, 20,9% contrata y 29,6% honorarios. El ranking SUBDERE cayó de 80% a 58,4% y la encuesta funcionaria (n=116) muestra solo 48% de percepción de relevancia laboral. La capacitación es priorizada por 34% de funcionarios. El patrimonio municipal paso de -$1.460M (2012) a +$9.400M (2023, +$10.860M), con transparencia CPLT mejorando de 16,41% a 97,89%. Sin embargo, el gasto corriente de 84,57% y gasto en personal de 74,0% (sobre umbral CGR de 70%) limitan inversion (SINIM 2024).</t>
  </si>
  <si>
    <t>Directivos capacitados en gestión pública; Evaluaciones de desempeño realizadas; Mejora en indicadores de gestión</t>
  </si>
  <si>
    <t>Capacitación directiva esporádica sin plan de desarrollo</t>
  </si>
  <si>
    <t>100% equipo directivo con plan de desarrollo + evaluación anual + capacitación</t>
  </si>
  <si>
    <t>Sistema de alta dirección pública local + carrera funcionaria + liderazgo de excelencia</t>
  </si>
  <si>
    <t>Alcaldía + RRHH + Administración Municipal</t>
  </si>
  <si>
    <t>Municipal + SUBDERE + Academia</t>
  </si>
  <si>
    <t>Modernización del Código de Ética Municipal</t>
  </si>
  <si>
    <t>Actualizar y fortalecer el código de ética municipal, implementando sistema de declaración de intereses, capacitación en probidad, canal de denuncias y comité de ética con participación ciudadana.</t>
  </si>
  <si>
    <t>La Contraloría emitió 24 instrumentos de control en 15 años con 3 derivaciones al Ministerio Público y hallazgos de fraccionamiento reiterado de contratos. El diagnóstico normativo identifica 63,6% de decretos vigentes con más de 20 años. La encuesta funcionaria (n=116) reporta 22% de disputas laborales y 3% de acoso sexual.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</si>
  <si>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Código de ética actualizado; Funcionarios capacitados en probidad; Denuncias gestionadas por canal ético</t>
  </si>
  <si>
    <t>Código de ética desactualizado sin mecanismos de control</t>
  </si>
  <si>
    <t>Código actualizado + 100% funcionarios capacitados + canal de denuncias operativo</t>
  </si>
  <si>
    <t>Sistema de integridad institucional + evaluación periódica + cultura ética instalada</t>
  </si>
  <si>
    <t>Administración Municipal + RRHH + Jurídica</t>
  </si>
  <si>
    <t>Municipal + Contraloría</t>
  </si>
  <si>
    <t>OE 6.3 Implementar sistema ERP y transformación digital de la gestión municipal</t>
  </si>
  <si>
    <t>Edificio Municipal Consistorial 'Rosario Unido'</t>
  </si>
  <si>
    <t>Construir o remodelar edificio municipal consistorial que integre servicios municipales, accesibilidad universal, eficiencia energética y espacios ciudadanos en infraestructura moderna y funcional.</t>
  </si>
  <si>
    <t>La infraestructura municipal actual limita la calidad del servicio para 65.786 habitantes con 939 funcionarios y 34,5% de profesionalización. El patrimonio municipal creció de -$1.460M (2012) a $9.400M (2023), permitiendo inversión en infraestructura. El gasto en personal (74%) supera umbral CGR de 70%. La CGR emitio 5 instrumentos de control sobre el Edificio Consistorial en solo 4 anos, evidenciando problematica recurrente. El control interno es debil: sin manuales formales y funciones concentradas (CGR Informe N 894-17).</t>
  </si>
  <si>
    <t>Avance de proyecto (diseño/construcción); Servicios integrados; Satisfacción ciudadana con infraestructura</t>
  </si>
  <si>
    <t>Infraestructura municipal dispersa y deteriorada</t>
  </si>
  <si>
    <t>Diseño aprobado + inicio de construcción/remodelación</t>
  </si>
  <si>
    <t>Edificio consistorial operativo + 100% servicios integrados + accesibilidad universal</t>
  </si>
  <si>
    <t>Municipal + FNDR + GORE + SUBDERE</t>
  </si>
  <si>
    <t>Innovación Municipal: Rengo Digital</t>
  </si>
  <si>
    <t>Implementar estrategia de transformación digital municipal con sistema ERP, trámites en línea, firma electrónica, expediente digital, atención virtual y modernización tecnológica de procesos internos.</t>
  </si>
  <si>
    <t>El ranking SUBDERE cayó de 80% a 58,4% de logro, evidenciando rezago en modernización. La encuesta funcionaria (n=116) prioriza modernizar procesos (62%) y fortalecer coordinación interdepartamental (45%). Las licitaciones municipales (1.000 procesos, $7.011M) muestran 58,9% de presupuestos no publicados, requiriendo transparencia digital. La Ley 21.180 de transformacion digital del Estado exige modernizacion. Solo 11% de ciudadania usa tramites online frecuentemente y 6% conoce el Plan de Emergencias municipal, evidenciando "abismo informacional" como brecha mas pronunciada del diagnostico (Encuesta ciudadana n=119).</t>
  </si>
  <si>
    <t>Trámites digitalizados; Usuarios de plataforma digital; Reducción de tiempos de tramitación</t>
  </si>
  <si>
    <t>Trámites mayoritariamente presenciales sin ERP integrado</t>
  </si>
  <si>
    <t>ERP operativo + 60% trámites en línea + firma electrónica + expediente digital</t>
  </si>
  <si>
    <t>100% trámites digitales + IA en gestión + municipio paperless</t>
  </si>
  <si>
    <t>Informática + Administración Municipal + SECPLAN</t>
  </si>
  <si>
    <t>Municipal + SUBDERE + FNDR + CORFO</t>
  </si>
  <si>
    <t>OE 6.3 Plataforma digital participacion</t>
  </si>
  <si>
    <t>Transformacion Digital</t>
  </si>
  <si>
    <t>Plan de Implementacion Ley 21.180 de Transformacion Digital</t>
  </si>
  <si>
    <t>Articular con SGD el acceso a activos digitales transversales (DocDigital, Domicilio Digital Unico) y preparar las fases de comunicacion electronica obligatoria.</t>
  </si>
  <si>
    <t>El Analisis Web documenta que Rengo supera ampliamente la media regional (0,573 vs 0,846) pero solo 4,4% de funcionarios municipales a nivel nacional percibe a su municipio muy avanzado en Gobierno Digital. La Ley 21.180 obliga digitalizacion completa para dic-2027. Riesgo de cumplimiento aparente: activar plataformas sin transformacion real. 20,5% poblacion rural tiene menor penetracion digital. IDH 0,571 (tramo medio-bajo). Designar Encargado TIC como punto de contacto SGD.</t>
  </si>
  <si>
    <t>% procedimientos digitalizados; Encargado TIC designado; N activos SGD implementados</t>
  </si>
  <si>
    <t>Sin Encargado TIC; sin plan Ley 21.180</t>
  </si>
  <si>
    <t>Encargado TIC + DocDigital operativo + 50% procedimientos</t>
  </si>
  <si>
    <t>100% procedimientos + interoperabilidad + domicilio digital</t>
  </si>
  <si>
    <t>Informatica + Administracion + SECPLAN</t>
  </si>
  <si>
    <t>Municipal + SGD + SUBDERE</t>
  </si>
  <si>
    <t>Plataforma Vecino Digital y Participacion Ciudadana Online</t>
  </si>
  <si>
    <t>Desarrollar plataforma digital de participacion que permita reportar problemas, hacer seguimiento de solicitudes y acceder a registros municipales, con SLA definidos.</t>
  </si>
  <si>
    <t>El Analisis Web identifica como brecha critica la ausencia de Plataforma Vecino Digital. Rengo lidera Indice Web Municipal en O'Higgins (0,846/1,000, 1 de 33 comunas) con 22 de 26 indicadores. Pero existe riesgo de efecto boomerang: plataformas sin respuesta institucional deterioran confianza. La Ventanilla Unica (Google Apps Script) es antecedente valioso pero requiere escalamiento. La Ley 21.180 de Transformacion Digital exige digitalizacion completa para 2027.</t>
  </si>
  <si>
    <t>Plataforma operativa; N reclamos gestionados; tiempo promedio respuesta</t>
  </si>
  <si>
    <t>Sin Plataforma Vecino Digital; Ventanilla Unica basica</t>
  </si>
  <si>
    <t>Plataforma operativa + SLA &lt; 5 dias</t>
  </si>
  <si>
    <t>Integracion con App movil + &gt; 1.000 usuarios activos</t>
  </si>
  <si>
    <t>Informatica + SECPLAN + Innovacion y Gestion</t>
  </si>
  <si>
    <t>Municipal + SUBDERE + SGD</t>
  </si>
  <si>
    <t>Transparencia Digital</t>
  </si>
  <si>
    <t>Publicacion Digital de Sesiones del Concejo y Boletines Ciudadanos</t>
  </si>
  <si>
    <t>Publicar actas y video de sesiones del Concejo Municipal periodicamente, e implementar boletines informativos digitales con suscripcion ciudadana.</t>
  </si>
  <si>
    <t>El Analisis Web identifica 4 brechas para alcanzar Indice Web 1,000: sesiones del Concejo online, boletines informativos, Plataforma Vecino Digital y App movil. Las sesiones del Concejo son brecha de transparencia democratica de baja complejidad y alto impacto, alineada con Ley 20.285. Boletines son herramienta de comunicacion proactiva de bajo costo. La participacion electoral de Rengo es 91,4% (SERVEL 2024), evidenciando ciudadania activa que demanda rendicion de cuentas.</t>
  </si>
  <si>
    <t>Sesiones publicadas; N suscriptores boletin; frecuencia publicacion</t>
  </si>
  <si>
    <t>Sin sesiones online; sin boletines digitales</t>
  </si>
  <si>
    <t>100% sesiones publicadas + boletin mensual</t>
  </si>
  <si>
    <t>Video sesiones + boletin quincenal + &gt; 2.000 suscriptores</t>
  </si>
  <si>
    <t>Secretaria Municipal + Comunicaciones</t>
  </si>
  <si>
    <t>OE 6.4 Crear Unidad Medio Ambiente</t>
  </si>
  <si>
    <t>Actualizacion Reglamento Organizacion Interna Municipal</t>
  </si>
  <si>
    <t>Modificar Reglamento (Decreto 1778/2018, mod. 1287/2022) para crear Unidad MA, elevar Des. Economico a Direccion y restructurar organigrama.</t>
  </si>
  <si>
    <t>Organigrama con 13 unidades tiene 3 brechas estructurales: (1) Sin Unidad MA para Eje 4; (2) Dpto. Des. Economico sin rango Direccion; (3) Sin unidad Turismo/Cultura para Eje 1. DIDECO, SECPLAN, DOM, Salud y DSP concentran &gt;70% carga operativa.</t>
  </si>
  <si>
    <t>Reglamento actualizado</t>
  </si>
  <si>
    <t>3 brechas estructurales</t>
  </si>
  <si>
    <t>Unidad MA + Dir. Des. Economico</t>
  </si>
  <si>
    <t>Evaluacion alineamiento</t>
  </si>
  <si>
    <t>Alcaldia + Juridica + Concejo</t>
  </si>
  <si>
    <t>Creacion Unidad de Medio Ambiente Municipal</t>
  </si>
  <si>
    <t>Crear Unidad MA en Reglamento con profesionales, presupuesto y plan de accion climatica comunal.</t>
  </si>
  <si>
    <t>No existe Unidad MA en organigrama. Sin Plan Climatico. 1,96 m2/hab areas verdes. Crisis hidrica -30-35%. 110 incendios 2010-2018. 80% especies exoticas. Centros reciclaje convertidos en microbasurales.</t>
  </si>
  <si>
    <t>Unidad creada; Plan Climatico</t>
  </si>
  <si>
    <t>Sin Unidad MA</t>
  </si>
  <si>
    <t>Unidad con 2+ profesionales + Plan</t>
  </si>
  <si>
    <t>Evaluacion ambiental bienal</t>
  </si>
  <si>
    <t>Alcaldia + SECPLAN</t>
  </si>
  <si>
    <t>Municipal + MMA</t>
  </si>
  <si>
    <t>R5: Ordenanza de Medio Ambiente y Sustentabilidad</t>
  </si>
  <si>
    <t>Crear ordenanza que regule areas verdes, arbolado urbano, calidad del aire, gestion Rio Claro y adaptacion climatica.</t>
  </si>
  <si>
    <t>No existe ordenanza ambiental. Crisis hidrica -30-35% precipitaciones. Demanda agua 220,8 hm3/ano. 110 incendios 2010-2018. Perdida 3.950 ha agricolas (-26%). Sin Unidad de Medio Ambiente en organigrama (OE 6.4).</t>
  </si>
  <si>
    <t>Ordenanza ambiental aprobada</t>
  </si>
  <si>
    <t>Sin ordenanza ambiental</t>
  </si>
  <si>
    <t>Ordenanza + Plan Climatico</t>
  </si>
  <si>
    <t>Evaluacion impacto cada 3 anos</t>
  </si>
  <si>
    <t>Unidad MA + SECPLAN</t>
  </si>
  <si>
    <t>Municipal + MMA + FNDR</t>
  </si>
  <si>
    <t>ODS 6, 13, 15</t>
  </si>
  <si>
    <t>OE 6.4 Fortalecer gestión ambiental y eficiencia en uso de recursos municipales</t>
  </si>
  <si>
    <t>Modernización de Cuadrillas de Aseo y Ornato</t>
  </si>
  <si>
    <t>Modernizar operación de cuadrillas de aseo y ornato municipal con planificación por rutas optimizadas, equipamiento renovado, uniformes, capacitación y sistema de reporte ciudadano de necesidades.</t>
  </si>
  <si>
    <t>Con 1,96 m2/hab de áreas verdes (60% césped amarillento, 70% plazas sin riego), las cuadrillas de aseo requieren optimización. El levantamiento de espacio público identifica 57+ puntos con mantención deficiente y microbasurales en bordes rurales y cauces. Las licitaciones de áreas verdes y parques representan 52 procesos (5,2% del total). La contaminacion y falta de limpieza es mencionada como problema por 41% de ciudadania (49 menciones, 2o lugar tras inseguridad). El medio ambiente es prioritario para 30% de ciudadania, 38% de NNA y 27% de funcionarios (Encuesta ciudadana n=119).</t>
  </si>
  <si>
    <t>Rutas de aseo optimizadas; Tiempo de respuesta ante reportes; Satisfacción ciudadana con aseo</t>
  </si>
  <si>
    <t>Cuadrillas con operación tradicional sin optimización de rutas</t>
  </si>
  <si>
    <t>Rutas optimizadas + equipamiento renovado + app de reporte ciudadano</t>
  </si>
  <si>
    <t>Sistema inteligente de gestión de aseo + vehículos eléctricos + ISO 14001</t>
  </si>
  <si>
    <t>Dirección Aseo y Ornato + Administración</t>
  </si>
  <si>
    <t>ODS 11, 12</t>
  </si>
  <si>
    <t>OE 6.5 Direccion Desarrollo Economico</t>
  </si>
  <si>
    <t>Creacion Direccion de Desarrollo Economico Local</t>
  </si>
  <si>
    <t>Elevar Departamento a Direccion con personal profesional, presupuesto propio y plan estrategico.</t>
  </si>
  <si>
    <t>Opera sin rango Direccion con capacidad limitada pese a 4.829 empresas (1 regional). Solo 3 profesionales. IPP $6.155M (34,6%). Pobreza 5,4%. Dependencia agricola estacional. Perdida 3.950 ha. OMIL 500+ pero sin reconversion.</t>
  </si>
  <si>
    <t>Direccion creada y operativa</t>
  </si>
  <si>
    <t>Departamento sin rango</t>
  </si>
  <si>
    <t>Direccion con 5+ profesionales y PCDEL</t>
  </si>
  <si>
    <t>Evaluacion gestion</t>
  </si>
  <si>
    <t>Alcaldia + Juridica</t>
  </si>
  <si>
    <t>OE 6.5 Promover desarrollo económico local y emprendimiento comunitario</t>
  </si>
  <si>
    <t>Alianzas Estratégicas Público-Privado-Sociedad Civil</t>
  </si>
  <si>
    <t>Establecer alianzas estratégicas con sector privado, academia y sociedad civil para cofinanciar proyectos, transferir tecnología, desarrollar emprendimiento y fortalecer tejido productivo comunal.</t>
  </si>
  <si>
    <t>Rengo tiene 330 organizaciones comunitarias activas y 4.829 empresas (1a en región), potencial para alianzas estratégicas. La dependencia de transferencias es 75,2% y los ingresos propios solo 9%. El ICD evolucionó de 0,10 a 0,88 demostrando capacidad de gestión para atraer inversión privada. La estructura empresarial muestra 953 unidades en manufactura (1a regional, +256%), 834 en comercio (1a, +337%) y 714 en construccion (1a, +303%). Los 12.453 trabajadores en microempresas (78,3%) evidencian predominio de empleo en pequena escala (SINIM 2024).</t>
  </si>
  <si>
    <t>Alianzas formalizadas; Inversión privada apalancada; Proyectos conjuntos ejecutados</t>
  </si>
  <si>
    <t>Alianzas público-privadas esporádicas sin estrategia</t>
  </si>
  <si>
    <t>10 alianzas estratégicas + mesa público-privada permanente</t>
  </si>
  <si>
    <t>20 alianzas + ecosistema de innovación + inversión privada significativa</t>
  </si>
  <si>
    <t>SECPLAN + Desarrollo Económico + Alcaldía</t>
  </si>
  <si>
    <t>Municipal + Sector Privado + Universidades + CORFO</t>
  </si>
  <si>
    <t>ODS 8, 17</t>
  </si>
  <si>
    <t>Atención Integral al Ciudadano: Asesoría Jurídica, Contable y Social</t>
  </si>
  <si>
    <t>Crear oficina de atención integral al ciudadano que ofrezca asesoría jurídica, contable, social y orientación en trámites públicos de manera gratuita para vecinos de Rengo.</t>
  </si>
  <si>
    <t>La pobreza multidimensional alcanza 13,6% (8.600 personas) y la vulnerabilidad FONASA A+B es 62,5%. La encuesta ciudadana (n=119) califica servicios entre 2,82 y 3,35/5, con programas sociales familiares en 3,08. Las 88 personas en situación de calle y 7.256 PcD (12,1%) requieren asesoría integral accesible. Rengo cuenta con 65.786 hab. (Censo INE 2024), 4.829 empresas (1a regional) y un BHT promedio de 0,537, con 44,9% de poblacion en quintiles inferiores. La correlacion socioeconomica-BHT (r=0,831) evidencia que las intervenciones sociales son el principal motor de bienestar territorial (Diagnostico PLADECO 2025).</t>
  </si>
  <si>
    <t>Atenciones realizadas por tipo; Casos resueltos; Satisfacción de usuarios</t>
  </si>
  <si>
    <t>Asesoría fragmentada en distintas dependencias</t>
  </si>
  <si>
    <t>Oficina integral operativa + 1,000 atenciones anuales + evaluación satisfacción</t>
  </si>
  <si>
    <t>Red de oficinas + atención digital + 3,000 atenciones anuales + convenios universidades</t>
  </si>
  <si>
    <t>DIDECO + Jurídica + Administración Municipal</t>
  </si>
  <si>
    <t>Municipal + Universidades + Colegios Profesionales</t>
  </si>
  <si>
    <t>ODS 1, 10, 16</t>
  </si>
  <si>
    <t>Desconcentración de Servicios 'Rengo Atiende en tus Localidades'</t>
  </si>
  <si>
    <t>Descentralizar servicios municipales hacia localidades rurales mediante oficinas satélite, atención itinerante y plataformas digitales para trámites, permisos y consultas sin necesidad de trasladarse al centro.</t>
  </si>
  <si>
    <t>La dispersión territorial de Rengo (65.786 hab. en 592 km2) dificulta acceso a servicios: distritos rurales como Chanqueahue (232,5 km2) y Popeta (142,9 km2) tienen &lt;30 hab/km2. La brecha territorial es reconocida por 82% de funcionarios (n=116). El BIP rural representa solo $113 MM (11,5% de inversión total). Las localidades rurales son percibidas como "el patio trasero de la comuna" segun la etnografia social, con BIP rural representando solo $113 MM (11,5%) vs Rengo Centro $960 MM (87,2%). Los servicios municipales evaluados obtienen rango 2,82-3,35/5 (Etnografia Social 2025; Analisis BIP 2025).</t>
  </si>
  <si>
    <t>Localidades con servicio municipal desconcentrado; Trámites realizados en localidades; Satisfacción ciudadana rural</t>
  </si>
  <si>
    <t>Servicios municipales concentrados en edificio central</t>
  </si>
  <si>
    <t>5 oficinas satélite + atención itinerante mensual en 100% localidades</t>
  </si>
  <si>
    <t>10 oficinas + plataforma digital de trámites + 100% servicios accesibles remotamente</t>
  </si>
  <si>
    <t>Municipal + SUBDERE + FNDR</t>
  </si>
  <si>
    <t>ODS 9, 10, 16</t>
  </si>
  <si>
    <t>OE 6.6 Fortalecer la cuenta pública y la rendición de cuentas participativa</t>
  </si>
  <si>
    <t>Alianza Estratégica con Servicios Públicos: Transparencia</t>
  </si>
  <si>
    <t>Establecer convenios de colaboración con servicios públicos (SII, Registro Civil, FONASA, ChileAtiende) para descentralizar trámites estatales en dependencias municipales y mejorar acceso ciudadano.</t>
  </si>
  <si>
    <t>Los vecinos de Rengo deben trasladarse a Rancagua (23 km) para trámites estatales. El ICD mejoró de 0,10 a 0,88 demostrando capacidad de gestión para alianzas. La transparencia CPLT alcanzó 97,89% (2023), posicionando a Rengo como referente regional en gobernanza junto a Rancagua. El COSOC reporta limitaciones estructurales: requerimientos sin retroalimentacion y carencia de reconocimiento. La disposicion a participar es 49% afirmativa y 43% condicional, con 57% de ciudadania perteneciendo a alguna agrupacion (Encuesta ciudadana n=119; Etnografia Social 2025).</t>
  </si>
  <si>
    <t>Convenios con servicios públicos; Trámites estatales disponibles en la comuna; Usuarios atendidos</t>
  </si>
  <si>
    <t>Presencia limitada de servicios públicos en la comuna</t>
  </si>
  <si>
    <t>Convenios con 5 servicios públicos + ChileAtiende en Rengo</t>
  </si>
  <si>
    <t>10+ servicios públicos disponibles + plataforma integrada + atención completa</t>
  </si>
  <si>
    <t>Administración Municipal + Alcaldía + SECPLAN</t>
  </si>
  <si>
    <t>Municipal + Servicios Públicos + SUBDERE</t>
  </si>
  <si>
    <t>Gobierno Abierto Municipal: Cocreación de Políticas</t>
  </si>
  <si>
    <t>Implementar modelo de gobierno abierto municipal con datos abiertos, presupuestos participativos, consultas ciudadanas vinculantes y plataformas de cocreación de políticas públicas locales.</t>
  </si>
  <si>
    <t>La participación ciudadana muestra potencial: 49% disposición afirmativa y 43% condicional (n=119), con 330 organizaciones comunitarias activas. La transparencia CPLT mejoró de 16,41% (2012) a 97,89% (2023). El IDHC de participación creció de 0,40 a 0,65 pero es la dimensión más lenta. El COSOC reporta limitaciones estructurales: requerimientos sin retroalimentacion formal y carece de reconocimiento y atribuciones. El 39% de ciudadania comparte con vecinos y 57% pertenece a alguna agrupacion (Etnografia Social 2025; Encuesta ciudadana n=119).</t>
  </si>
  <si>
    <t>Datos abiertos publicados; Consultas ciudadanas realizadas; Propuestas ciudadanas incorporadas a gestión</t>
  </si>
  <si>
    <t>Participación ciudadana limitada a consultas formales</t>
  </si>
  <si>
    <t>Portal de datos abiertos + 4 consultas anuales + presupuesto participativo</t>
  </si>
  <si>
    <t>Gobierno abierto integral + cocreación permanente + índice de participación alto</t>
  </si>
  <si>
    <t>SECPLAN + Comunicaciones + DIDECO</t>
  </si>
  <si>
    <t>Municipal + SUBDERE + Sociedad Civil</t>
  </si>
  <si>
    <t>Observatorio Ciudadano de Transparencia Municipal</t>
  </si>
  <si>
    <t>Crear observatorio ciudadano de transparencia municipal que monitoree gestión, presupuesto, contrataciones y cumplimiento de compromisos con participación de sociedad civil organizada.</t>
  </si>
  <si>
    <t>La Contraloría emitió 24 instrumentos de control con 3 derivaciones al Ministerio Público y hallazgos de conflictos de interés no declarados. La transparencia CPLT alcanzó 97,89% (2023), pero la encuesta ciudadana califica servicios entre 2,82-3,35/5. Las 330 organizaciones comunitarias pueden articular contraloría social. El COSOC reporta limitaciones estructurales: requerimientos sin retroalimentacion y carencia de reconocimiento. La disposicion a participar es 49% afirmativa y 43% condicional, con 57% de ciudadania perteneciendo a alguna agrupacion (Encuesta ciudadana n=119; Etnografia Social 2025).</t>
  </si>
  <si>
    <t>Informes de observatorio publicados; Organizaciones participantes; Recomendaciones implementadas por el municipio</t>
  </si>
  <si>
    <t>Sin observatorio ciudadano de transparencia</t>
  </si>
  <si>
    <t>Observatorio operativo + 10 organizaciones participantes + informes semestrales</t>
  </si>
  <si>
    <t>Observatorio consolidado + 30 organizaciones + incidencia en gestión + reconocimiento nacional</t>
  </si>
  <si>
    <t>SECPLAN + DIDECO + Comunicaciones</t>
  </si>
  <si>
    <t>Municipal + Sociedad Civil + Universidades + Consejo para la Transparencia</t>
  </si>
  <si>
    <t>Plataforma de Participación Ciudadana</t>
  </si>
  <si>
    <t>Crear plataforma digital de participación ciudadana para consultas, propuestas, votaciones, presupuesto participativo y seguimiento de proyectos con transparencia y acceso universal.</t>
  </si>
  <si>
    <t>La encuesta ciudadana (n=119) muestra disposición a participar: 49% afirmativa y 43% condicional, con 330 organizaciones comunitarias activas. El IDHC de participación creció de 0,40 a 0,65 pero es la dimensión más lenta. Las 3 encuestas estructuradas (ciudadana, funcionarios, NNA) evidencian demanda de canales participativos. El patrimonio municipal paso de -$1.460M (2012) a +$9.400M (2023, +$10.860M), con transparencia CPLT mejorando de 16,41% a 97,89%. Sin embargo, el gasto corriente de 84,57% y gasto en personal de 74,0% (sobre umbral CGR de 70%) limitan inversion (SINIM 2024).</t>
  </si>
  <si>
    <t>Usuarios registrados en plataforma; Consultas ciudadanas realizadas; Propuestas ciudadanas implementadas</t>
  </si>
  <si>
    <t>Participación ciudadana principalmente presencial sin plataforma digital</t>
  </si>
  <si>
    <t>Plataforma operativa + 5,000 usuarios + presupuesto participativo digital</t>
  </si>
  <si>
    <t>15,000 usuarios + participación vinculante + cocreación de políticas permanente</t>
  </si>
  <si>
    <t>SECPLAN + Comunicaciones + Informática + DIDECO</t>
  </si>
  <si>
    <t>Transparencia y Probidad '0 Tolerancia a la Corrupción'</t>
  </si>
  <si>
    <t>Fortalecer políticas de transparencia activa y pasiva, implementando auditorías internas periódicas, sistema de control interno, publicación proactiva de información y canal de denuncias ciudadano.</t>
  </si>
  <si>
    <t>La transparencia CPLT mejoró de 16,41% (2012) a 97,89% (2023), pero la Contraloría emitió 24 instrumentos con hallazgos de gastos sin respaldo (8 documentos), rendiciones deficientes (9 documentos) y 3 derivaciones penales. El diagnóstico normativo identifica 8 vacíos críticos y 50,9% de decretos son modificaciones (parcheo). El IIGAM es 0,57 (15o regional) con probidad al 75% y acceso a informacion al 58%, evidenciando brecha entre transparencia formal (CPLT 97,89%) e integridad institucional efectiva. Los gastos sin respaldo aparecen en 8 documentos CGR (CGR 2024).</t>
  </si>
  <si>
    <t>Índice de transparencia municipal; Auditorías realizadas; Solicitudes de transparencia atendidas en plazo</t>
  </si>
  <si>
    <t>Cumplimiento básico de transparencia activa</t>
  </si>
  <si>
    <t>100% transparencia activa + auditorías semestrales + canal de denuncias</t>
  </si>
  <si>
    <t>Certificación de transparencia + auditorías con estándares internacionales</t>
  </si>
  <si>
    <t>Administración Municipal + Contraloría Interna + Jurídica</t>
  </si>
  <si>
    <t>Municipal + Consejo para la Transparencia</t>
  </si>
  <si>
    <t>OE 6.6 Rendicion cuentas publica</t>
  </si>
  <si>
    <t>Gobernanza Institucional</t>
  </si>
  <si>
    <t>Activacion COSOC y Mecanismos de Participacion Ciudadana</t>
  </si>
  <si>
    <t>Constituir y activar el Consejo Comunal de Organizaciones de la Sociedad Civil (COSOC) y los mecanismos de participacion de la Ley 20.500.</t>
  </si>
  <si>
    <t>El Diagnostico Institucional (Hallazgo 5) identifica deficit total de participacion: no se evidencian mecanismos formales mas alla de transparencia pasiva. La Ley 20.500 obliga a los municipios a contar con COSOC, ordenanza de participacion, audiencias publicas y consultas ciudadanas. El art. 7 de la Ley 18.695 establece que el PLADECO debe elaborarse con participacion de la comunidad local. Sin COSOC activo, el PLADECO carece de legitimidad democratica.</t>
  </si>
  <si>
    <t>COSOC constituido y sesionando; N audiencias publicas anuales</t>
  </si>
  <si>
    <t>Sin COSOC activo ni mecanismos formales</t>
  </si>
  <si>
    <t>COSOC + 4 sesiones + 2 audiencias/ano</t>
  </si>
  <si>
    <t>6+ sesiones + consultas ciudadanas regulares</t>
  </si>
  <si>
    <t>Secretaria Municipal + DIDECO</t>
  </si>
  <si>
    <t>Aprobacion Codigo de Etica Municipal</t>
  </si>
  <si>
    <t>Formalizar mediante decreto alcaldicio el Codigo de Etica municipal, definido como elemento minimo del Sistema de Integridad pero aun pendiente de aprobacion.</t>
  </si>
  <si>
    <t>El Diagnostico Institucional identifica que de los 9 componentes del Sistema de Integridad, solo 1 esta plenamente cumplido. El Codigo de Etica esta referenciado en la Politica de Integridad (Dec. 1416/2023) como elemento minimo normativo pero NO consta como aprobado. Solo el 40% de municipios a nivel nacional tiene Codigo aprobado. Rancagua (referente regional) lo aprobo en 2023. Es la brecha mas significativa del sistema de integridad de Rengo.</t>
  </si>
  <si>
    <t>Codigo aprobado por decreto; % funcionarios que lo conocen</t>
  </si>
  <si>
    <t>Codigo referenciado pero no aprobado</t>
  </si>
  <si>
    <t>Codigo aprobado + 100% difundido</t>
  </si>
  <si>
    <t>Evaluacion adherencia bienal</t>
  </si>
  <si>
    <t>Oficial de Integridad + CSI + Juridica</t>
  </si>
  <si>
    <t>Matriz de Riesgo de Probidad e Integridad Municipal</t>
  </si>
  <si>
    <t>Disenar matriz de riesgos de probidad que identifique y mitigue riesgos de corrupcion en todas las direcciones.</t>
  </si>
  <si>
    <t>CGR emitio 24 instrumentos de control en 15 anos con 3 derivaciones al Ministerio Publico. Fraccionamiento reiterado de contratos (2012, 2015, 2017). Honorarios encubiertos 2010-2021. Rendiciones deficientes 8 anos. Ley 20.880 exige declaracion intereses.</t>
  </si>
  <si>
    <t>Matriz aprobada y operativa</t>
  </si>
  <si>
    <t>Sin matriz de riesgo de probidad</t>
  </si>
  <si>
    <t>Matriz en 100% direcciones</t>
  </si>
  <si>
    <t>Evaluacion anual + auditoria interna</t>
  </si>
  <si>
    <t>Contraloria Interna + Juridica</t>
  </si>
  <si>
    <t>Protocolo Anticorrupcion y Conflicto de Intereses</t>
  </si>
  <si>
    <t>Protocolo de prevencion, deteccion y sancion de actos contrarios a la probidad con canal de denuncias.</t>
  </si>
  <si>
    <t>CGR detecto conflictos interes no declarados (2 documentos, 2015, gravedad MUY ALTA). Indicios responsabilidad penal en 3 documentos (CRITICA). Ley 20.880 y Ley 20.730 (lobby) con obligaciones no cumplidas. IIGAM 57% (15 regional).</t>
  </si>
  <si>
    <t>Protocolo aprobado; canal denuncias</t>
  </si>
  <si>
    <t>Sin protocolo anticorrupcion formal</t>
  </si>
  <si>
    <t>Protocolo institucionalizado + 100% capacitados</t>
  </si>
  <si>
    <t>Evaluacion anual; reporte CPLT y CGR</t>
  </si>
  <si>
    <t>R1: Texto Refundido de Derechos Municipales</t>
  </si>
  <si>
    <t>Consolidar 12+ modificaciones de derechos municipales en un instrumento unico actualizado.</t>
  </si>
  <si>
    <t>El 63,6% de los decretos vigentes tienen mas de 20 anos. 55 decretos analizados, 50,9% son modificaciones. 8 vacios normativos criticos. La normativa base fue dictada entre 1991-1996 y ha sido parcheada sin revision integral generando antinomias juridicas.</t>
  </si>
  <si>
    <t>Texto refundido aprobado</t>
  </si>
  <si>
    <t>12+ modificaciones dispersas</t>
  </si>
  <si>
    <t>Texto refundido publicado</t>
  </si>
  <si>
    <t>Actualizacion cada 5 anos</t>
  </si>
  <si>
    <t>Juridica + SECPLAN</t>
  </si>
  <si>
    <t>R3: Modernizacion Ordenanza de Aseo y Ornato</t>
  </si>
  <si>
    <t>Actualizar ordenanza de 1996 incorporando reciclaje, economia circular y gestion diferenciada de residuos.</t>
  </si>
  <si>
    <t>Ordenanza de aseo tiene 30 anos (1996). Centros reciclaje convertidos en microbasurales. 80% especies exoticas. Sin Unidad de Medio Ambiente. Areas verdes 1,96 m2/hab (OMS 9-10). 60% cesped amarillento, 70% plazas sin riego.</t>
  </si>
  <si>
    <t>Ordenanza actualizada</t>
  </si>
  <si>
    <t>Ordenanza de 1996 sin actualizar</t>
  </si>
  <si>
    <t>Ordenanza con reciclaje aprobada</t>
  </si>
  <si>
    <t>Evaluacion bienal</t>
  </si>
  <si>
    <t>Aseo y Ornato + Juridica</t>
  </si>
  <si>
    <t>R4: Catastro Normativo Digital</t>
  </si>
  <si>
    <t>Crear repositorio digital accesible con toda la normativa municipal sistematizada y buscador ciudadano.</t>
  </si>
  <si>
    <t>65 instrumentos normativos dispersos sin repositorio digital. Solo 11% ciudadania usa tramites online. 6% conoce Plan Emergencias. Ley 21.180 exige transformacion digital. Abismo informacional es la brecha mas pronunciada del diagnostico.</t>
  </si>
  <si>
    <t>Portal normativo operativo</t>
  </si>
  <si>
    <t>Sin repositorio digital</t>
  </si>
  <si>
    <t>Portal con 100% normativa</t>
  </si>
  <si>
    <t>Actualizacion continua</t>
  </si>
  <si>
    <t>Informatica + Juridica</t>
  </si>
  <si>
    <t>Renovacion Convenio con Contraloria y Modelo de Madurez de Integridad</t>
  </si>
  <si>
    <t>Evaluar renovacion del Convenio CGR (Clausula Sexta permite nuevos convenios) y adoptar modelo de madurez del sistema de integridad propuesto por la Contraloria.</t>
  </si>
  <si>
    <t>El Analisis Normativo evidencia que el Convenio CGR suscrito junio 2022 fue ejecutado en sus etapas principales pero no consta acta de cierre (Clausula 3d). No se identifican instrumentos de seguimiento posterior al Taller AGIL. Solo 15% de municipios tiene monitoreo formal de integridad. Solo 25% implementa gestion de riesgos. La Contraloria propone un modelo de madurez del sistema de integridad que Rengo podria adoptar. El art. 21A de Ley 10.336 permite nuevos convenios.</t>
  </si>
  <si>
    <t>Convenio renovado o cerrado; nivel en modelo madurez CGR; reportes semestrales CSI</t>
  </si>
  <si>
    <t>Convenio sin cierre formal; sin monitoreo post-Taller AGIL</t>
  </si>
  <si>
    <t>Cierre formal + evaluacion renovacion + 2 reportes CSI</t>
  </si>
  <si>
    <t>Nivel 3 modelo madurez + convenio vigente + auditorias integridad</t>
  </si>
  <si>
    <t>Contraloria Interna + Oficial de Integridad</t>
  </si>
  <si>
    <t>Municipal + CGR</t>
  </si>
  <si>
    <t>Sistema de Monitoreo y Evaluacion Institucional Integrado</t>
  </si>
  <si>
    <t>Implementar tablero de indicadores institucionales con metas anuales que articule todos los instrumentos de gestion bajo mecanismos comunes de seguimiento.</t>
  </si>
  <si>
    <t>El Diagnostico Institucional revela que 50% de las 16 dimensiones evaluadas estan en Nivel 2 (Formalizado sin implementacion verificable) y 37,5% en Nivel 1 (Ausente). NINGUNA dimension alcanza Nivel 4 (Optimizado). No existen indicadores transversales, tableros de control ni mecanismos de evaluacion de ningun instrumento. La brecha formalizacion-implementacion es el hallazgo central: 9 de 12 instrumentos (75%) estan aprobados por decreto pero carecen de evidencia de ejecucion.</t>
  </si>
  <si>
    <t>N instrumentos en Nivel 3+ de madurez; reportes trimestrales publicados</t>
  </si>
  <si>
    <t>1 de 16 dimensiones en Nivel 3 (6%)</t>
  </si>
  <si>
    <t>6 de 16 en Nivel 3 (37%)</t>
  </si>
  <si>
    <t>12 de 16 en Nivel 3 (75%)</t>
  </si>
  <si>
    <t>SECPLAN + Innovacion y Gestion</t>
  </si>
  <si>
    <t>Total Acciones</t>
  </si>
  <si>
    <t>% del Total</t>
  </si>
  <si>
    <t>27.0%</t>
  </si>
  <si>
    <t>8.5%</t>
  </si>
  <si>
    <t>7.0%</t>
  </si>
  <si>
    <t>21.5%</t>
  </si>
  <si>
    <t>14.0%</t>
  </si>
  <si>
    <t>22.0%</t>
  </si>
  <si>
    <t>TOTAL</t>
  </si>
  <si>
    <t>N°</t>
  </si>
  <si>
    <t>Infraestructura / Servicio</t>
  </si>
  <si>
    <t>Año</t>
  </si>
  <si>
    <t>Inversión</t>
  </si>
  <si>
    <t>Fuente</t>
  </si>
  <si>
    <t>Estado</t>
  </si>
  <si>
    <t>Observación</t>
  </si>
  <si>
    <t>Edificio Consistorial Rengo</t>
  </si>
  <si>
    <t>2016</t>
  </si>
  <si>
    <t>$8.000M+</t>
  </si>
  <si>
    <t>FNDR</t>
  </si>
  <si>
    <t>Ejecutado</t>
  </si>
  <si>
    <t>Sede principal municipal operativa. CGR emitió 5 instrumentos de control por irregularidades en obra.</t>
  </si>
  <si>
    <t>CESFAM Oriente</t>
  </si>
  <si>
    <t>2017</t>
  </si>
  <si>
    <t>$3.500M+</t>
  </si>
  <si>
    <t>MINSAL</t>
  </si>
  <si>
    <t>Tercer CESFAM comunal. Red APS: 55.000 inscritos, 520.000 prestaciones/año.</t>
  </si>
  <si>
    <t>Luminarias LED</t>
  </si>
  <si>
    <t>$1.200M</t>
  </si>
  <si>
    <t>Modernización parcial del alumbrado. Sectores periféricos y rurales mantienen déficit.</t>
  </si>
  <si>
    <t>SAR Rienzi Valencia</t>
  </si>
  <si>
    <t>2018</t>
  </si>
  <si>
    <t>$2.800M+</t>
  </si>
  <si>
    <t>Resolvió déficit crónico de urgencias nocturnas y fines de semana.</t>
  </si>
  <si>
    <t>Farmacia Popular Municipal</t>
  </si>
  <si>
    <t>$350M</t>
  </si>
  <si>
    <t>Mejoró acceso a medicamentos. Requiere ampliación de cobertura.</t>
  </si>
  <si>
    <t>Piscina Municipal</t>
  </si>
  <si>
    <t>2019</t>
  </si>
  <si>
    <t>$800M</t>
  </si>
  <si>
    <t>FRIL</t>
  </si>
  <si>
    <t>Complementa oferta deportiva. No es temperada, limitando uso invernal.</t>
  </si>
  <si>
    <t>Polideportivo Municipal</t>
  </si>
  <si>
    <t>$1.100M</t>
  </si>
  <si>
    <t>Cubre parcialmente demanda deportiva. Insuficiente para 65.786 hab. Rosario carece de polideportivo.</t>
  </si>
  <si>
    <t>ELEAM Municipal</t>
  </si>
  <si>
    <t>2022</t>
  </si>
  <si>
    <t>$1.800M</t>
  </si>
  <si>
    <t>SENAMA</t>
  </si>
  <si>
    <t>Atiende adultos mayores en dependencia. Cobertura insuficiente para 8.796 AM (IE=72,1).</t>
  </si>
  <si>
    <t>Dirección de Seguridad Pública</t>
  </si>
  <si>
    <t>Presup. municipal</t>
  </si>
  <si>
    <t>Operativa</t>
  </si>
  <si>
    <t>Principal hito modernización institucional. 80 cámaras televigilancia (de 8 en 2012, +900%). Plan 'Rengo + Seguro': 31 medidas.</t>
  </si>
  <si>
    <t>Metrotren (reactivado)</t>
  </si>
  <si>
    <t>2021</t>
  </si>
  <si>
    <t>Inversión EFE</t>
  </si>
  <si>
    <t>EFE/GORE</t>
  </si>
  <si>
    <t>Operativo</t>
  </si>
  <si>
    <t>Tramo San Fernando-Estación Central, ~90 min a Santiago. Activo estratégico para conectividad y desarrollo económico.</t>
  </si>
  <si>
    <t>Hospital Alta Complejidad</t>
  </si>
  <si>
    <t>2022+</t>
  </si>
  <si>
    <t>$20.000M+</t>
  </si>
  <si>
    <t>En construcción</t>
  </si>
  <si>
    <t>Transformará la red de salud comunal y regional. Mayor proyecto de inversión sectorial en la historia de Rengo.</t>
  </si>
  <si>
    <t>Sistema Televigilancia (80 cámaras)</t>
  </si>
  <si>
    <t>2012-2023</t>
  </si>
  <si>
    <t>Inversión progresiva</t>
  </si>
  <si>
    <t>Crecimiento de 8 a 80 cámaras (+900%). Requiere integración con IA y cobertura en zonas rurales.</t>
  </si>
  <si>
    <t>Permanente</t>
  </si>
  <si>
    <t>Municipal + SENCE</t>
  </si>
  <si>
    <t>500+ colocaciones laborales/año. Requiere fortalecimiento en reconversión agrícola y empleo juvenil.</t>
  </si>
  <si>
    <t>COSOC</t>
  </si>
  <si>
    <t>Ley 20.500</t>
  </si>
  <si>
    <t>Activo</t>
  </si>
  <si>
    <t>Instancia consultiva obligatoria. Ordenanza de participación 14+ años sin modificar, sin mecanismos digitales.</t>
  </si>
  <si>
    <t>Oficina Local de la Niñez</t>
  </si>
  <si>
    <t>Vigente</t>
  </si>
  <si>
    <t>Coordina atención NNA. 54,41% NNA se sienten inseguros, 24% violencia escolar recurrente.</t>
  </si>
  <si>
    <t>Dir. Innovación y Gestión</t>
  </si>
  <si>
    <t>Existente</t>
  </si>
  <si>
    <t>Requiere fortalecimiento con recursos. Sin ERP municipal (OE 6.3). Ley 21.180 exige transformación digital.</t>
  </si>
  <si>
    <t>PRODESAL / INDAP</t>
  </si>
  <si>
    <t>Sectorial</t>
  </si>
  <si>
    <t>INDAP + Municipal</t>
  </si>
  <si>
    <t>Apoyo a pequeños agricultores. 3.950 ha agrícolas perdidas (-26% en 14 años). 1.200 regantes en Junta Vigilancia Río Claro.</t>
  </si>
  <si>
    <t>330 Organizaciones Comunitarias</t>
  </si>
  <si>
    <t>Vigentes</t>
  </si>
  <si>
    <t>N/A</t>
  </si>
  <si>
    <t>Sociedad civil</t>
  </si>
  <si>
    <t>Activas</t>
  </si>
  <si>
    <t>49 JJVV urbanas + organizaciones rurales + clubes deportivos + organizaciones ambientales. Capital social subutilizado.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</si>
</sst>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amily val="2"/>
      <scheme val="minor"/>
    </font>
    <font>
      <b/>
      <sz val="9"/>
      <color rgb="FF1E7E45"/>
      <name val="Arial"/>
    </font>
    <font>
      <b/>
      <sz val="9"/>
      <color rgb="FFE0A020"/>
      <name val="Arial"/>
    </font>
    <font>
      <b/>
      <sz val="10"/>
      <color rgb="FFFFFFFF"/>
      <name val="Arial"/>
    </font>
    <font>
      <sz val="9"/>
      <color rgb="FF1A1A2E"/>
      <name val="Arial"/>
    </font>
    <font>
      <b/>
      <sz val="10"/>
      <color rgb="FF1C3557"/>
      <name val="Arial"/>
    </font>
    <font>
      <i/>
      <sz val="9"/>
      <color rgb="FF065A82"/>
      <name val="Arial"/>
    </font>
    <font>
      <b/>
      <sz val="14"/>
      <color rgb="FF1C3557"/>
      <name val="Arial"/>
    </font>
    <font>
      <sz val="9"/>
      <color rgb="FF1A1A2E"/>
      <name val="Arial"/>
    </font>
    <font>
      <b/>
      <sz val="11"/>
      <color rgb="FF1C3557"/>
      <name val="Arial"/>
    </font>
    <font>
      <i/>
      <sz val="9"/>
      <color rgb="FF8899AA"/>
      <name val="Arial"/>
    </font>
    <font>
      <b/>
      <sz val="10"/>
      <color rgb="FFFFFFFF"/>
      <name val="Arial"/>
    </font>
    <font>
      <b/>
      <sz val="9"/>
      <color rgb="FF1A1A2E"/>
      <name val="Arial"/>
    </font>
    <font>
      <i/>
      <sz val="9"/>
      <color rgb="FF065A82"/>
      <name val="Arial"/>
    </font>
    <font>
      <b/>
      <sz val="9"/>
      <color rgb="FF1E7E45"/>
      <name val="Arial"/>
    </font>
    <font>
      <b/>
      <sz val="9"/>
      <color rgb="FFE0A020"/>
      <name val="Arial"/>
    </font>
    <font>
      <b/>
      <sz val="9"/>
      <color rgb="FFC0392B"/>
      <name val="Arial"/>
    </font>
    <font>
      <b/>
      <sz val="10"/>
      <color rgb="FF1C3557"/>
      <name val="Arial"/>
    </font>
    <font>
      <b/>
      <sz val="12"/>
      <color rgb="FF065A82"/>
      <name val="Arial"/>
    </font>
    <font>
      <b/>
      <sz val="10"/>
      <color rgb="FF6D2E46"/>
      <name val="Arial"/>
    </font>
    <font>
      <b/>
      <sz val="12"/>
      <color rgb="FF1C3557"/>
      <name val="Arial"/>
    </font>
    <font>
      <i/>
      <sz val="9"/>
      <color rgb="FFC0392B"/>
      <name val="Arial"/>
    </font>
    <font>
      <b/>
      <sz val="10"/>
      <color rgb="FF1A1A2E"/>
      <name val="Arial"/>
    </font>
    <font>
      <b/>
      <sz val="10"/>
      <color rgb="FF0D9488"/>
      <name val="Arial"/>
    </font>
    <font>
      <b/>
      <sz val="11"/>
      <color rgb="FFFFFFFF"/>
      <name val="Arial"/>
      <family val="2"/>
    </font>
    <font>
      <b/>
      <sz val="11"/>
      <color rgb="FF6D2E46"/>
      <name val="Arial"/>
      <family val="2"/>
    </font>
    <font>
      <sz val="11"/>
      <color rgb="FF1A1A2E"/>
      <name val="Arial"/>
      <family val="2"/>
    </font>
    <font>
      <b/>
      <sz val="11"/>
      <color rgb="FF1A1A2E"/>
      <name val="Arial"/>
      <family val="2"/>
    </font>
    <font>
      <b/>
      <sz val="11"/>
      <color rgb="FF1E7E45"/>
      <name val="Arial"/>
      <family val="2"/>
    </font>
    <font>
      <b/>
      <sz val="11"/>
      <color rgb="FFE0A020"/>
      <name val="Arial"/>
      <family val="2"/>
    </font>
    <font>
      <b/>
      <sz val="11"/>
      <color rgb="FFB85042"/>
      <name val="Arial"/>
      <family val="2"/>
    </font>
    <font>
      <b/>
      <sz val="11"/>
      <color rgb="FFC0392B"/>
      <name val="Arial"/>
      <family val="2"/>
    </font>
    <font>
      <b/>
      <sz val="11"/>
      <color rgb="FF0D9488"/>
      <name val="Arial"/>
      <family val="2"/>
    </font>
    <font>
      <b/>
      <sz val="11"/>
      <color rgb="FF1C3557"/>
      <name val="Arial"/>
      <family val="2"/>
    </font>
    <font>
      <b/>
      <sz val="11"/>
      <color rgb="FF065A82"/>
      <name val="Arial"/>
      <family val="2"/>
    </font>
    <font>
      <b/>
      <sz val="10"/>
      <color rgb="FFFFFFFF"/>
      <name val="Arial"/>
    </font>
    <font>
      <b/>
      <sz val="9"/>
      <color rgb="FF1A1A2E"/>
      <name val="Arial"/>
    </font>
    <font>
      <b/>
      <sz val="8"/>
      <color rgb="FF1C3557"/>
      <name val="Arial"/>
    </font>
    <font>
      <sz val="8"/>
      <color rgb="FF1A1A2E"/>
      <name val="Arial"/>
    </font>
    <font>
      <i/>
      <sz val="8"/>
      <color rgb="FF065A82"/>
      <name val="Arial"/>
    </font>
    <font>
      <b/>
      <sz val="9"/>
      <color rgb="FFE0A020"/>
      <name val="Arial"/>
    </font>
    <font>
      <b/>
      <sz val="8"/>
      <color rgb="FF0D9488"/>
      <name val="Arial"/>
    </font>
    <font>
      <b/>
      <sz val="9"/>
      <color rgb="FF1E7E45"/>
      <name val="Arial"/>
    </font>
    <font>
      <b/>
      <sz val="9"/>
      <color rgb="FFC0392B"/>
      <name val="Arial"/>
    </font>
    <font>
      <b/>
      <sz val="10"/>
      <color rgb="FF6D2E46"/>
      <name val="Arial"/>
    </font>
    <font>
      <b/>
      <sz val="12"/>
      <color rgb="FF1C3557"/>
      <name val="Arial"/>
    </font>
    <font>
      <sz val="10"/>
      <color rgb="FF1A1A2E"/>
      <name val="Arial"/>
    </font>
    <font>
      <b/>
      <sz val="10"/>
      <color rgb="FF1E7E45"/>
      <name val="Arial"/>
    </font>
    <font>
      <b/>
      <sz val="10"/>
      <color rgb="FFE0A020"/>
      <name val="Arial"/>
    </font>
    <font>
      <b/>
      <sz val="10"/>
      <color rgb="FFB85042"/>
      <name val="Arial"/>
    </font>
    <font>
      <b/>
      <sz val="10"/>
      <color rgb="FFC0392B"/>
      <name val="Arial"/>
    </font>
    <font>
      <b/>
      <sz val="10"/>
      <color rgb="FF0D9488"/>
      <name val="Arial"/>
    </font>
    <font>
      <b/>
      <sz val="11"/>
      <color rgb="FF1C3557"/>
      <name val="Arial"/>
    </font>
    <font>
      <b/>
      <sz val="9"/>
      <color rgb="FF1A1A2E"/>
      <name val="Arial"/>
      <family val="2"/>
    </font>
  </fonts>
  <fills count="25">
    <fill>
      <patternFill patternType="none"/>
    </fill>
    <fill>
      <patternFill patternType="gray125"/>
    </fill>
    <fill>
      <patternFill patternType="solid">
        <fgColor rgb="FF1C3557"/>
      </patternFill>
    </fill>
    <fill>
      <patternFill patternType="solid">
        <fgColor rgb="FFFFFFFF"/>
      </patternFill>
    </fill>
    <fill>
      <patternFill patternType="solid">
        <fgColor rgb="FFF2F4F7"/>
      </patternFill>
    </fill>
    <fill>
      <patternFill patternType="solid">
        <fgColor rgb="FFD6E4F0"/>
      </patternFill>
    </fill>
    <fill>
      <patternFill patternType="solid">
        <fgColor rgb="FF1C3557"/>
      </patternFill>
    </fill>
    <fill>
      <patternFill patternType="solid">
        <fgColor rgb="FF6D2E46"/>
      </patternFill>
    </fill>
    <fill>
      <patternFill patternType="solid">
        <fgColor rgb="FFF2F4F7"/>
      </patternFill>
    </fill>
    <fill>
      <patternFill patternType="solid">
        <fgColor rgb="FF1E7E45"/>
      </patternFill>
    </fill>
    <fill>
      <patternFill patternType="solid">
        <fgColor rgb="FFFFFFFF"/>
      </patternFill>
    </fill>
    <fill>
      <patternFill patternType="solid">
        <fgColor rgb="FFE0A020"/>
      </patternFill>
    </fill>
    <fill>
      <patternFill patternType="solid">
        <fgColor rgb="FFB85042"/>
      </patternFill>
    </fill>
    <fill>
      <patternFill patternType="solid">
        <fgColor rgb="FFC0392B"/>
      </patternFill>
    </fill>
    <fill>
      <patternFill patternType="solid">
        <fgColor rgb="FF0D9488"/>
      </patternFill>
    </fill>
    <fill>
      <patternFill patternType="solid">
        <fgColor rgb="FF1C3557"/>
      </patternFill>
    </fill>
    <fill>
      <patternFill patternType="solid">
        <fgColor rgb="FFF2F4F7"/>
      </patternFill>
    </fill>
    <fill>
      <patternFill patternType="solid">
        <fgColor rgb="FFFFFFFF"/>
      </patternFill>
    </fill>
    <fill>
      <patternFill patternType="solid">
        <fgColor rgb="FF6D2E46"/>
      </patternFill>
    </fill>
    <fill>
      <patternFill patternType="solid">
        <fgColor rgb="FF1E7E45"/>
      </patternFill>
    </fill>
    <fill>
      <patternFill patternType="solid">
        <fgColor rgb="FFE0A020"/>
      </patternFill>
    </fill>
    <fill>
      <patternFill patternType="solid">
        <fgColor rgb="FFB85042"/>
      </patternFill>
    </fill>
    <fill>
      <patternFill patternType="solid">
        <fgColor rgb="FFC0392B"/>
      </patternFill>
    </fill>
    <fill>
      <patternFill patternType="solid">
        <fgColor rgb="FF0D9488"/>
      </patternFill>
    </fill>
    <fill>
      <patternFill patternType="solid">
        <fgColor rgb="FFD6E4F0"/>
      </patternFill>
    </fill>
  </fills>
  <borders count="10">
    <border>
      <left/>
      <right/>
      <top/>
      <bottom/>
      <diagonal/>
    </border>
    <border>
      <left style="thin">
        <color rgb="FF1C3557"/>
      </left>
      <right style="thin">
        <color rgb="FF1C3557"/>
      </right>
      <top style="medium">
        <color rgb="FF1C3557"/>
      </top>
      <bottom style="medium">
        <color rgb="FF1C3557"/>
      </bottom>
      <diagonal/>
    </border>
    <border>
      <left style="thin">
        <color rgb="FFCCCCCC"/>
      </left>
      <right style="thin">
        <color rgb="FFCCCCCC"/>
      </right>
      <top style="thin">
        <color rgb="FFCCCCCC"/>
      </top>
      <bottom style="thin">
        <color rgb="FFCCCCCC"/>
      </bottom>
      <diagonal/>
    </border>
    <border>
      <left style="thin">
        <color rgb="FF1C3557"/>
      </left>
      <right style="thin">
        <color rgb="FF1C3557"/>
      </right>
      <top style="medium">
        <color rgb="FF1C3557"/>
      </top>
      <bottom style="medium">
        <color rgb="FF1C3557"/>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1C3557"/>
      </left>
      <right style="thin">
        <color rgb="FF1C3557"/>
      </right>
      <top style="medium">
        <color rgb="FF1C3557"/>
      </top>
      <bottom style="medium">
        <color rgb="FF1C355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0">
    <xf numFmtId="0" fontId="0" fillId="0" borderId="0" xfId="0"/>
    <xf numFmtId="0" fontId="1" fillId="3" borderId="2" xfId="0" applyFont="1" applyFill="1" applyBorder="1" applyAlignment="1">
      <alignment horizontal="center" vertical="top" wrapText="1"/>
    </xf>
    <xf numFmtId="0" fontId="2" fillId="3" borderId="2" xfId="0" applyFont="1" applyFill="1" applyBorder="1" applyAlignment="1">
      <alignment horizontal="center" vertical="top" wrapText="1"/>
    </xf>
    <xf numFmtId="0" fontId="1" fillId="4" borderId="2"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wrapText="1"/>
    </xf>
    <xf numFmtId="0" fontId="5"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11" fillId="6" borderId="3" xfId="0" applyFont="1" applyFill="1" applyBorder="1" applyAlignment="1">
      <alignment horizontal="center" vertical="center" wrapText="1"/>
    </xf>
    <xf numFmtId="0" fontId="12" fillId="8" borderId="4" xfId="0" applyFont="1" applyFill="1" applyBorder="1" applyAlignment="1">
      <alignment horizontal="center" vertical="top" wrapText="1"/>
    </xf>
    <xf numFmtId="0" fontId="19" fillId="8" borderId="4" xfId="0" applyFont="1" applyFill="1" applyBorder="1" applyAlignment="1">
      <alignment horizontal="left" vertical="top" wrapText="1"/>
    </xf>
    <xf numFmtId="0" fontId="20" fillId="8" borderId="4" xfId="0" applyFont="1" applyFill="1" applyBorder="1" applyAlignment="1">
      <alignment horizontal="center" vertical="top" wrapText="1"/>
    </xf>
    <xf numFmtId="0" fontId="8" fillId="8" borderId="4" xfId="0" applyFont="1" applyFill="1" applyBorder="1" applyAlignment="1">
      <alignment horizontal="center" vertical="top" wrapText="1"/>
    </xf>
    <xf numFmtId="0" fontId="8" fillId="8" borderId="4" xfId="0" applyFont="1" applyFill="1" applyBorder="1" applyAlignment="1">
      <alignment horizontal="left" vertical="top" wrapText="1"/>
    </xf>
    <xf numFmtId="0" fontId="21" fillId="8" borderId="4" xfId="0" applyFont="1" applyFill="1" applyBorder="1" applyAlignment="1">
      <alignment horizontal="left" vertical="top" wrapText="1"/>
    </xf>
    <xf numFmtId="0" fontId="14" fillId="8" borderId="4" xfId="0" applyFont="1" applyFill="1" applyBorder="1" applyAlignment="1">
      <alignment horizontal="left" vertical="top" wrapText="1"/>
    </xf>
    <xf numFmtId="0" fontId="12" fillId="10" borderId="4" xfId="0" applyFont="1" applyFill="1" applyBorder="1" applyAlignment="1">
      <alignment horizontal="center" vertical="top" wrapText="1"/>
    </xf>
    <xf numFmtId="0" fontId="19" fillId="10" borderId="4" xfId="0" applyFont="1" applyFill="1" applyBorder="1" applyAlignment="1">
      <alignment horizontal="left" vertical="top" wrapText="1"/>
    </xf>
    <xf numFmtId="0" fontId="20" fillId="10" borderId="4" xfId="0" applyFont="1" applyFill="1" applyBorder="1" applyAlignment="1">
      <alignment horizontal="center" vertical="top" wrapText="1"/>
    </xf>
    <xf numFmtId="0" fontId="8" fillId="10" borderId="4" xfId="0" applyFont="1" applyFill="1" applyBorder="1" applyAlignment="1">
      <alignment horizontal="center" vertical="top" wrapText="1"/>
    </xf>
    <xf numFmtId="0" fontId="8" fillId="10" borderId="4" xfId="0" applyFont="1" applyFill="1" applyBorder="1" applyAlignment="1">
      <alignment horizontal="left" vertical="top" wrapText="1"/>
    </xf>
    <xf numFmtId="0" fontId="21" fillId="10" borderId="4" xfId="0" applyFont="1" applyFill="1" applyBorder="1" applyAlignment="1">
      <alignment horizontal="left" vertical="top" wrapText="1"/>
    </xf>
    <xf numFmtId="0" fontId="14" fillId="10" borderId="4" xfId="0" applyFont="1" applyFill="1" applyBorder="1" applyAlignment="1">
      <alignment horizontal="left" vertical="top" wrapText="1"/>
    </xf>
    <xf numFmtId="0" fontId="0" fillId="5" borderId="3" xfId="0" applyFill="1" applyBorder="1"/>
    <xf numFmtId="0" fontId="9" fillId="5" borderId="3" xfId="0" applyFont="1" applyFill="1" applyBorder="1" applyAlignment="1">
      <alignment horizontal="right" vertical="center"/>
    </xf>
    <xf numFmtId="0" fontId="7" fillId="5" borderId="3" xfId="0" applyFont="1" applyFill="1" applyBorder="1" applyAlignment="1">
      <alignment horizontal="center" vertical="center"/>
    </xf>
    <xf numFmtId="0" fontId="0" fillId="5" borderId="0" xfId="0" applyFill="1"/>
    <xf numFmtId="0" fontId="22" fillId="8" borderId="4" xfId="0" applyFont="1" applyFill="1" applyBorder="1" applyAlignment="1">
      <alignment horizontal="left" vertical="top" wrapText="1"/>
    </xf>
    <xf numFmtId="0" fontId="16" fillId="8" borderId="4" xfId="0" applyFont="1" applyFill="1" applyBorder="1" applyAlignment="1">
      <alignment horizontal="center" vertical="top" wrapText="1"/>
    </xf>
    <xf numFmtId="0" fontId="14" fillId="8" borderId="4" xfId="0" applyFont="1" applyFill="1" applyBorder="1" applyAlignment="1">
      <alignment horizontal="center" vertical="top" wrapText="1"/>
    </xf>
    <xf numFmtId="0" fontId="22" fillId="10" borderId="4" xfId="0" applyFont="1" applyFill="1" applyBorder="1" applyAlignment="1">
      <alignment horizontal="left" vertical="top" wrapText="1"/>
    </xf>
    <xf numFmtId="0" fontId="16" fillId="10" borderId="4" xfId="0" applyFont="1" applyFill="1" applyBorder="1" applyAlignment="1">
      <alignment horizontal="center" vertical="top" wrapText="1"/>
    </xf>
    <xf numFmtId="0" fontId="14" fillId="10" borderId="4" xfId="0" applyFont="1" applyFill="1" applyBorder="1" applyAlignment="1">
      <alignment horizontal="center" vertical="top" wrapText="1"/>
    </xf>
    <xf numFmtId="0" fontId="15" fillId="8" borderId="4" xfId="0" applyFont="1" applyFill="1" applyBorder="1" applyAlignment="1">
      <alignment horizontal="center" vertical="top" wrapText="1"/>
    </xf>
    <xf numFmtId="0" fontId="8" fillId="8" borderId="4" xfId="0" applyFont="1" applyFill="1" applyBorder="1" applyAlignment="1">
      <alignment vertical="top" wrapText="1"/>
    </xf>
    <xf numFmtId="0" fontId="23" fillId="8" borderId="4" xfId="0" applyFont="1" applyFill="1" applyBorder="1" applyAlignment="1">
      <alignment vertical="top" wrapText="1"/>
    </xf>
    <xf numFmtId="0" fontId="13" fillId="8" borderId="4" xfId="0" applyFont="1" applyFill="1" applyBorder="1" applyAlignment="1">
      <alignment vertical="top" wrapText="1"/>
    </xf>
    <xf numFmtId="0" fontId="8" fillId="10" borderId="4" xfId="0" applyFont="1" applyFill="1" applyBorder="1" applyAlignment="1">
      <alignment vertical="top" wrapText="1"/>
    </xf>
    <xf numFmtId="0" fontId="23" fillId="10" borderId="4" xfId="0" applyFont="1" applyFill="1" applyBorder="1" applyAlignment="1">
      <alignment vertical="top" wrapText="1"/>
    </xf>
    <xf numFmtId="0" fontId="13" fillId="10" borderId="4" xfId="0" applyFont="1" applyFill="1" applyBorder="1" applyAlignment="1">
      <alignment vertical="top" wrapText="1"/>
    </xf>
    <xf numFmtId="0" fontId="17" fillId="8" borderId="4" xfId="0" applyFont="1" applyFill="1" applyBorder="1" applyAlignment="1">
      <alignment vertical="top" wrapText="1"/>
    </xf>
    <xf numFmtId="0" fontId="17" fillId="10" borderId="4" xfId="0" applyFont="1" applyFill="1" applyBorder="1" applyAlignment="1">
      <alignment vertical="top" wrapText="1"/>
    </xf>
    <xf numFmtId="0" fontId="24" fillId="6" borderId="7" xfId="0" applyFont="1" applyFill="1" applyBorder="1" applyAlignment="1">
      <alignment horizontal="center" vertical="center" wrapText="1"/>
    </xf>
    <xf numFmtId="0" fontId="24" fillId="7" borderId="7" xfId="0" applyFont="1" applyFill="1" applyBorder="1" applyAlignment="1">
      <alignment horizontal="center" vertical="center"/>
    </xf>
    <xf numFmtId="0" fontId="25" fillId="0" borderId="7" xfId="0" applyFont="1" applyBorder="1" applyAlignment="1">
      <alignment vertical="center" wrapText="1"/>
    </xf>
    <xf numFmtId="0" fontId="26" fillId="8" borderId="7" xfId="0" applyFont="1" applyFill="1" applyBorder="1" applyAlignment="1">
      <alignment vertical="center" wrapText="1"/>
    </xf>
    <xf numFmtId="0" fontId="25" fillId="0" borderId="7" xfId="0" applyFont="1" applyBorder="1" applyAlignment="1">
      <alignment horizontal="center" vertical="center"/>
    </xf>
    <xf numFmtId="0" fontId="27" fillId="8" borderId="7" xfId="0" applyFont="1" applyFill="1" applyBorder="1" applyAlignment="1">
      <alignment horizontal="center" vertical="center"/>
    </xf>
    <xf numFmtId="0" fontId="24" fillId="9" borderId="7" xfId="0" applyFont="1" applyFill="1" applyBorder="1" applyAlignment="1">
      <alignment horizontal="center" vertical="center"/>
    </xf>
    <xf numFmtId="0" fontId="28" fillId="0" borderId="7" xfId="0" applyFont="1" applyBorder="1" applyAlignment="1">
      <alignment vertical="center" wrapText="1"/>
    </xf>
    <xf numFmtId="0" fontId="26" fillId="10" borderId="7" xfId="0" applyFont="1" applyFill="1" applyBorder="1" applyAlignment="1">
      <alignment vertical="center" wrapText="1"/>
    </xf>
    <xf numFmtId="0" fontId="28" fillId="0" borderId="7" xfId="0" applyFont="1" applyBorder="1" applyAlignment="1">
      <alignment horizontal="center" vertical="center"/>
    </xf>
    <xf numFmtId="0" fontId="27" fillId="10" borderId="7" xfId="0" applyFont="1" applyFill="1" applyBorder="1" applyAlignment="1">
      <alignment horizontal="center" vertical="center"/>
    </xf>
    <xf numFmtId="0" fontId="24" fillId="11" borderId="7" xfId="0" applyFont="1" applyFill="1" applyBorder="1" applyAlignment="1">
      <alignment horizontal="center" vertical="center"/>
    </xf>
    <xf numFmtId="0" fontId="29" fillId="0" borderId="7" xfId="0" applyFont="1" applyBorder="1" applyAlignment="1">
      <alignment vertical="center" wrapText="1"/>
    </xf>
    <xf numFmtId="0" fontId="29" fillId="0" borderId="7" xfId="0" applyFont="1" applyBorder="1" applyAlignment="1">
      <alignment horizontal="center" vertical="center"/>
    </xf>
    <xf numFmtId="0" fontId="24" fillId="12" borderId="7" xfId="0" applyFont="1" applyFill="1" applyBorder="1" applyAlignment="1">
      <alignment horizontal="center" vertical="center"/>
    </xf>
    <xf numFmtId="0" fontId="30" fillId="0" borderId="7" xfId="0" applyFont="1" applyBorder="1" applyAlignment="1">
      <alignment vertical="center" wrapText="1"/>
    </xf>
    <xf numFmtId="0" fontId="30" fillId="0" borderId="7" xfId="0" applyFont="1" applyBorder="1" applyAlignment="1">
      <alignment horizontal="center" vertical="center"/>
    </xf>
    <xf numFmtId="0" fontId="24" fillId="13" borderId="7" xfId="0" applyFont="1" applyFill="1" applyBorder="1" applyAlignment="1">
      <alignment horizontal="center" vertical="center"/>
    </xf>
    <xf numFmtId="0" fontId="31" fillId="0" borderId="7" xfId="0" applyFont="1" applyBorder="1" applyAlignment="1">
      <alignment vertical="center" wrapText="1"/>
    </xf>
    <xf numFmtId="0" fontId="31" fillId="0" borderId="7" xfId="0" applyFont="1" applyBorder="1" applyAlignment="1">
      <alignment horizontal="center" vertical="center"/>
    </xf>
    <xf numFmtId="0" fontId="24" fillId="14" borderId="7" xfId="0" applyFont="1" applyFill="1" applyBorder="1" applyAlignment="1">
      <alignment horizontal="center" vertical="center"/>
    </xf>
    <xf numFmtId="0" fontId="32" fillId="0" borderId="7" xfId="0" applyFont="1" applyBorder="1" applyAlignment="1">
      <alignment vertical="center" wrapText="1"/>
    </xf>
    <xf numFmtId="0" fontId="32" fillId="0" borderId="7" xfId="0" applyFont="1" applyBorder="1" applyAlignment="1">
      <alignment horizontal="center" vertical="center"/>
    </xf>
    <xf numFmtId="0" fontId="33" fillId="5" borderId="7" xfId="0" applyFont="1" applyFill="1" applyBorder="1" applyAlignment="1">
      <alignment horizontal="left" vertical="center" wrapText="1"/>
    </xf>
    <xf numFmtId="0" fontId="33" fillId="5" borderId="7" xfId="0" applyFont="1" applyFill="1" applyBorder="1" applyAlignment="1">
      <alignment horizontal="center" vertical="center" wrapText="1"/>
    </xf>
    <xf numFmtId="0" fontId="34" fillId="5" borderId="7" xfId="0" applyFont="1" applyFill="1" applyBorder="1" applyAlignment="1">
      <alignment horizontal="center" vertical="center" wrapText="1"/>
    </xf>
    <xf numFmtId="0" fontId="35" fillId="15" borderId="8" xfId="0" applyFont="1" applyFill="1" applyBorder="1" applyAlignment="1">
      <alignment horizontal="center" vertical="center"/>
    </xf>
    <xf numFmtId="0" fontId="44" fillId="16" borderId="9" xfId="0" applyFont="1" applyFill="1" applyBorder="1" applyAlignment="1">
      <alignment horizontal="left" vertical="center"/>
    </xf>
    <xf numFmtId="0" fontId="45" fillId="16" borderId="9" xfId="0" applyFont="1" applyFill="1" applyBorder="1" applyAlignment="1">
      <alignment horizontal="center" vertical="center"/>
    </xf>
    <xf numFmtId="0" fontId="46" fillId="16" borderId="9" xfId="0" applyFont="1" applyFill="1" applyBorder="1" applyAlignment="1">
      <alignment horizontal="center" vertical="center"/>
    </xf>
    <xf numFmtId="0" fontId="47" fillId="17" borderId="9" xfId="0" applyFont="1" applyFill="1" applyBorder="1" applyAlignment="1">
      <alignment horizontal="left" vertical="center"/>
    </xf>
    <xf numFmtId="0" fontId="45" fillId="17" borderId="9" xfId="0" applyFont="1" applyFill="1" applyBorder="1" applyAlignment="1">
      <alignment horizontal="center" vertical="center"/>
    </xf>
    <xf numFmtId="0" fontId="46" fillId="17" borderId="9" xfId="0" applyFont="1" applyFill="1" applyBorder="1" applyAlignment="1">
      <alignment horizontal="center" vertical="center"/>
    </xf>
    <xf numFmtId="0" fontId="48" fillId="16" borderId="9" xfId="0" applyFont="1" applyFill="1" applyBorder="1" applyAlignment="1">
      <alignment horizontal="left" vertical="center"/>
    </xf>
    <xf numFmtId="0" fontId="49" fillId="17" borderId="9" xfId="0" applyFont="1" applyFill="1" applyBorder="1" applyAlignment="1">
      <alignment horizontal="left" vertical="center"/>
    </xf>
    <xf numFmtId="0" fontId="50" fillId="16" borderId="9" xfId="0" applyFont="1" applyFill="1" applyBorder="1" applyAlignment="1">
      <alignment horizontal="left" vertical="center"/>
    </xf>
    <xf numFmtId="0" fontId="51" fillId="17" borderId="9" xfId="0" applyFont="1" applyFill="1" applyBorder="1" applyAlignment="1">
      <alignment horizontal="left" vertical="center"/>
    </xf>
    <xf numFmtId="0" fontId="52" fillId="24" borderId="8" xfId="0" applyFont="1" applyFill="1" applyBorder="1" applyAlignment="1">
      <alignment horizontal="center"/>
    </xf>
    <xf numFmtId="0" fontId="7" fillId="5" borderId="0" xfId="0" applyFont="1" applyFill="1" applyAlignment="1">
      <alignment horizontal="center" vertical="center"/>
    </xf>
    <xf numFmtId="0" fontId="0" fillId="0" borderId="0" xfId="0"/>
    <xf numFmtId="0" fontId="10" fillId="0" borderId="0" xfId="0" applyFont="1" applyAlignment="1">
      <alignment horizontal="center"/>
    </xf>
    <xf numFmtId="0" fontId="18" fillId="0" borderId="0" xfId="0" applyFont="1"/>
    <xf numFmtId="0" fontId="8" fillId="10" borderId="4" xfId="0" applyFont="1" applyFill="1" applyBorder="1" applyAlignment="1">
      <alignment vertical="top" wrapText="1"/>
    </xf>
    <xf numFmtId="0" fontId="0" fillId="0" borderId="5" xfId="0" applyBorder="1"/>
    <xf numFmtId="0" fontId="0" fillId="0" borderId="6" xfId="0" applyBorder="1"/>
    <xf numFmtId="0" fontId="8" fillId="8" borderId="4" xfId="0" applyFont="1" applyFill="1" applyBorder="1" applyAlignment="1">
      <alignment vertical="top" wrapText="1"/>
    </xf>
    <xf numFmtId="0" fontId="35" fillId="15" borderId="7" xfId="0" applyFont="1" applyFill="1" applyBorder="1" applyAlignment="1">
      <alignment horizontal="center" vertical="center" wrapText="1"/>
    </xf>
    <xf numFmtId="0" fontId="0" fillId="0" borderId="7" xfId="0" applyBorder="1"/>
    <xf numFmtId="0" fontId="36" fillId="16" borderId="7" xfId="0" applyFont="1" applyFill="1" applyBorder="1" applyAlignment="1">
      <alignment horizontal="center" vertical="top" wrapText="1"/>
    </xf>
    <xf numFmtId="0" fontId="35" fillId="18" borderId="7" xfId="0" applyFont="1" applyFill="1" applyBorder="1" applyAlignment="1">
      <alignment horizontal="center" vertical="center" wrapText="1"/>
    </xf>
    <xf numFmtId="0" fontId="37" fillId="16" borderId="7" xfId="0" applyFont="1" applyFill="1" applyBorder="1" applyAlignment="1">
      <alignment horizontal="center" vertical="center" wrapText="1"/>
    </xf>
    <xf numFmtId="0" fontId="38" fillId="16" borderId="7" xfId="0" applyFont="1" applyFill="1" applyBorder="1" applyAlignment="1">
      <alignment horizontal="left" vertical="top" wrapText="1"/>
    </xf>
    <xf numFmtId="0" fontId="36" fillId="16" borderId="7" xfId="0" applyFont="1" applyFill="1" applyBorder="1" applyAlignment="1">
      <alignment horizontal="left" vertical="top" wrapText="1"/>
    </xf>
    <xf numFmtId="0" fontId="39" fillId="16" borderId="7" xfId="0" applyFont="1" applyFill="1" applyBorder="1" applyAlignment="1">
      <alignment horizontal="left" vertical="top" wrapText="1"/>
    </xf>
    <xf numFmtId="0" fontId="40" fillId="16" borderId="7" xfId="0" applyFont="1" applyFill="1" applyBorder="1" applyAlignment="1">
      <alignment horizontal="center" vertical="top" wrapText="1"/>
    </xf>
    <xf numFmtId="0" fontId="41" fillId="16" borderId="7" xfId="0" applyFont="1" applyFill="1" applyBorder="1" applyAlignment="1">
      <alignment horizontal="left" vertical="top" wrapText="1"/>
    </xf>
    <xf numFmtId="0" fontId="36" fillId="17" borderId="7" xfId="0" applyFont="1" applyFill="1" applyBorder="1" applyAlignment="1">
      <alignment horizontal="center" vertical="top" wrapText="1"/>
    </xf>
    <xf numFmtId="0" fontId="0" fillId="0" borderId="7" xfId="0" applyBorder="1" applyAlignment="1"/>
    <xf numFmtId="0" fontId="0" fillId="0" borderId="7" xfId="0" applyBorder="1"/>
    <xf numFmtId="0" fontId="38" fillId="17" borderId="7" xfId="0" applyFont="1" applyFill="1" applyBorder="1" applyAlignment="1">
      <alignment horizontal="left" vertical="top" wrapText="1"/>
    </xf>
    <xf numFmtId="0" fontId="36" fillId="17" borderId="7" xfId="0" applyFont="1" applyFill="1" applyBorder="1" applyAlignment="1">
      <alignment horizontal="left" vertical="top" wrapText="1"/>
    </xf>
    <xf numFmtId="0" fontId="39" fillId="17" borderId="7" xfId="0" applyFont="1" applyFill="1" applyBorder="1" applyAlignment="1">
      <alignment horizontal="left" vertical="top" wrapText="1"/>
    </xf>
    <xf numFmtId="0" fontId="40" fillId="17" borderId="7" xfId="0" applyFont="1" applyFill="1" applyBorder="1" applyAlignment="1">
      <alignment horizontal="center" vertical="top" wrapText="1"/>
    </xf>
    <xf numFmtId="0" fontId="41" fillId="17" borderId="7" xfId="0" applyFont="1" applyFill="1" applyBorder="1" applyAlignment="1">
      <alignment horizontal="left" vertical="top" wrapText="1"/>
    </xf>
    <xf numFmtId="0" fontId="42" fillId="16" borderId="7" xfId="0" applyFont="1" applyFill="1" applyBorder="1" applyAlignment="1">
      <alignment horizontal="center" vertical="top" wrapText="1"/>
    </xf>
    <xf numFmtId="0" fontId="43" fillId="17" borderId="7" xfId="0" applyFont="1" applyFill="1" applyBorder="1" applyAlignment="1">
      <alignment horizontal="center" vertical="top" wrapText="1"/>
    </xf>
    <xf numFmtId="0" fontId="42" fillId="17" borderId="7" xfId="0" applyFont="1" applyFill="1" applyBorder="1" applyAlignment="1">
      <alignment horizontal="center" vertical="top" wrapText="1"/>
    </xf>
    <xf numFmtId="0" fontId="37" fillId="17" borderId="7" xfId="0" applyFont="1" applyFill="1" applyBorder="1" applyAlignment="1">
      <alignment horizontal="center" vertical="center" wrapText="1"/>
    </xf>
    <xf numFmtId="0" fontId="43" fillId="16" borderId="7" xfId="0" applyFont="1" applyFill="1" applyBorder="1" applyAlignment="1">
      <alignment horizontal="center" vertical="top" wrapText="1"/>
    </xf>
    <xf numFmtId="0" fontId="35" fillId="19" borderId="7" xfId="0" applyFont="1" applyFill="1" applyBorder="1" applyAlignment="1">
      <alignment horizontal="center" vertical="center" wrapText="1"/>
    </xf>
    <xf numFmtId="0" fontId="35" fillId="19" borderId="7" xfId="0" applyFont="1" applyFill="1" applyBorder="1" applyAlignment="1">
      <alignment horizontal="center" vertical="center" wrapText="1"/>
    </xf>
    <xf numFmtId="0" fontId="37" fillId="17" borderId="7" xfId="0" applyFont="1" applyFill="1" applyBorder="1" applyAlignment="1">
      <alignment horizontal="center" vertical="center" wrapText="1"/>
    </xf>
    <xf numFmtId="0" fontId="37" fillId="16" borderId="7" xfId="0" applyFont="1" applyFill="1" applyBorder="1" applyAlignment="1">
      <alignment horizontal="center" vertical="center" wrapText="1"/>
    </xf>
    <xf numFmtId="0" fontId="35" fillId="20" borderId="7" xfId="0" applyFont="1" applyFill="1" applyBorder="1" applyAlignment="1">
      <alignment horizontal="center" vertical="center" wrapText="1"/>
    </xf>
    <xf numFmtId="0" fontId="35" fillId="21" borderId="7" xfId="0" applyFont="1" applyFill="1" applyBorder="1" applyAlignment="1">
      <alignment horizontal="center" vertical="center" wrapText="1"/>
    </xf>
    <xf numFmtId="0" fontId="35" fillId="21" borderId="7" xfId="0" applyFont="1" applyFill="1" applyBorder="1" applyAlignment="1">
      <alignment horizontal="center" vertical="center" wrapText="1"/>
    </xf>
    <xf numFmtId="0" fontId="35" fillId="22" borderId="7" xfId="0" applyFont="1" applyFill="1" applyBorder="1" applyAlignment="1">
      <alignment horizontal="center" vertical="center" wrapText="1"/>
    </xf>
    <xf numFmtId="0" fontId="35" fillId="22" borderId="7" xfId="0" applyFont="1" applyFill="1" applyBorder="1" applyAlignment="1">
      <alignment horizontal="center" vertical="center" wrapText="1"/>
    </xf>
    <xf numFmtId="0" fontId="35" fillId="23" borderId="7" xfId="0" applyFont="1" applyFill="1" applyBorder="1" applyAlignment="1">
      <alignment horizontal="center" vertical="center" wrapText="1"/>
    </xf>
    <xf numFmtId="0" fontId="35" fillId="23" borderId="7" xfId="0" applyFont="1" applyFill="1" applyBorder="1" applyAlignment="1">
      <alignment horizontal="center" vertical="center" wrapText="1"/>
    </xf>
    <xf numFmtId="0" fontId="0" fillId="0" borderId="7" xfId="0" applyBorder="1" applyAlignment="1"/>
    <xf numFmtId="0" fontId="53" fillId="16" borderId="7" xfId="0" applyFont="1" applyFill="1" applyBorder="1" applyAlignment="1">
      <alignment horizontal="left" vertical="top" wrapText="1"/>
    </xf>
    <xf numFmtId="0" fontId="53" fillId="17" borderId="7"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workbookViewId="0">
      <pane ySplit="2" topLeftCell="A6" activePane="bottomLeft" state="frozen"/>
      <selection pane="bottomLeft" sqref="A1:XFD1048576"/>
    </sheetView>
  </sheetViews>
  <sheetFormatPr baseColWidth="10" defaultColWidth="8.88671875" defaultRowHeight="14.4" x14ac:dyDescent="0.3"/>
  <cols>
    <col min="1" max="1" width="5" customWidth="1"/>
    <col min="2" max="2" width="40" customWidth="1"/>
    <col min="3" max="4" width="55" customWidth="1"/>
    <col min="5" max="5" width="12" customWidth="1"/>
    <col min="6" max="6" width="10" customWidth="1"/>
  </cols>
  <sheetData>
    <row r="1" spans="1:6" ht="34.950000000000003" customHeight="1" x14ac:dyDescent="0.3">
      <c r="A1" s="85" t="s">
        <v>0</v>
      </c>
      <c r="B1" s="86"/>
      <c r="C1" s="86"/>
      <c r="D1" s="86"/>
      <c r="E1" s="86"/>
      <c r="F1" s="86"/>
    </row>
    <row r="2" spans="1:6" ht="30" customHeight="1" x14ac:dyDescent="0.3">
      <c r="A2" s="47" t="s">
        <v>1</v>
      </c>
      <c r="B2" s="47" t="s">
        <v>2</v>
      </c>
      <c r="C2" s="47" t="s">
        <v>3</v>
      </c>
      <c r="D2" s="47" t="s">
        <v>4</v>
      </c>
      <c r="E2" s="47" t="s">
        <v>5</v>
      </c>
      <c r="F2" s="47" t="s">
        <v>6</v>
      </c>
    </row>
    <row r="3" spans="1:6" ht="85.05" customHeight="1" x14ac:dyDescent="0.3">
      <c r="A3" s="48">
        <v>1</v>
      </c>
      <c r="B3" s="49" t="s">
        <v>7</v>
      </c>
      <c r="C3" s="50" t="s">
        <v>8</v>
      </c>
      <c r="D3" s="50" t="s">
        <v>9</v>
      </c>
      <c r="E3" s="51">
        <v>17</v>
      </c>
      <c r="F3" s="52" t="s">
        <v>10</v>
      </c>
    </row>
    <row r="4" spans="1:6" ht="85.05" customHeight="1" x14ac:dyDescent="0.3">
      <c r="A4" s="53">
        <v>2</v>
      </c>
      <c r="B4" s="54" t="s">
        <v>11</v>
      </c>
      <c r="C4" s="55" t="s">
        <v>12</v>
      </c>
      <c r="D4" s="55" t="s">
        <v>13</v>
      </c>
      <c r="E4" s="56">
        <v>15</v>
      </c>
      <c r="F4" s="57" t="s">
        <v>14</v>
      </c>
    </row>
    <row r="5" spans="1:6" ht="85.05" customHeight="1" x14ac:dyDescent="0.3">
      <c r="A5" s="58">
        <v>3</v>
      </c>
      <c r="B5" s="59" t="s">
        <v>15</v>
      </c>
      <c r="C5" s="50" t="s">
        <v>16</v>
      </c>
      <c r="D5" s="50" t="s">
        <v>17</v>
      </c>
      <c r="E5" s="60">
        <v>14</v>
      </c>
      <c r="F5" s="52" t="s">
        <v>18</v>
      </c>
    </row>
    <row r="6" spans="1:6" ht="85.05" customHeight="1" x14ac:dyDescent="0.3">
      <c r="A6" s="61">
        <v>4</v>
      </c>
      <c r="B6" s="62" t="s">
        <v>19</v>
      </c>
      <c r="C6" s="55" t="s">
        <v>20</v>
      </c>
      <c r="D6" s="55" t="s">
        <v>21</v>
      </c>
      <c r="E6" s="63">
        <v>16</v>
      </c>
      <c r="F6" s="57" t="s">
        <v>22</v>
      </c>
    </row>
    <row r="7" spans="1:6" ht="85.05" customHeight="1" x14ac:dyDescent="0.3">
      <c r="A7" s="64">
        <v>5</v>
      </c>
      <c r="B7" s="65" t="s">
        <v>23</v>
      </c>
      <c r="C7" s="50" t="s">
        <v>24</v>
      </c>
      <c r="D7" s="50" t="s">
        <v>25</v>
      </c>
      <c r="E7" s="66">
        <v>16</v>
      </c>
      <c r="F7" s="52" t="s">
        <v>22</v>
      </c>
    </row>
    <row r="8" spans="1:6" ht="85.05" customHeight="1" x14ac:dyDescent="0.3">
      <c r="A8" s="67">
        <v>6</v>
      </c>
      <c r="B8" s="68" t="s">
        <v>26</v>
      </c>
      <c r="C8" s="55" t="s">
        <v>27</v>
      </c>
      <c r="D8" s="55" t="s">
        <v>28</v>
      </c>
      <c r="E8" s="69">
        <v>15</v>
      </c>
      <c r="F8" s="57" t="s">
        <v>14</v>
      </c>
    </row>
    <row r="9" spans="1:6" ht="40.049999999999997" customHeight="1" x14ac:dyDescent="0.3">
      <c r="A9" s="70"/>
      <c r="B9" s="71" t="s">
        <v>29</v>
      </c>
      <c r="C9" s="71" t="s">
        <v>30</v>
      </c>
      <c r="D9" s="72" t="s">
        <v>31</v>
      </c>
      <c r="E9" s="71">
        <f>SUM(E3:E8)</f>
        <v>93</v>
      </c>
      <c r="F9" s="71" t="s">
        <v>32</v>
      </c>
    </row>
    <row r="10" spans="1:6" x14ac:dyDescent="0.3">
      <c r="A10" s="87" t="s">
        <v>33</v>
      </c>
      <c r="B10" s="86"/>
      <c r="C10" s="86"/>
      <c r="D10" s="86"/>
      <c r="E10" s="86"/>
      <c r="F10" s="86"/>
    </row>
  </sheetData>
  <mergeCells count="2">
    <mergeCell ref="A1:F1"/>
    <mergeCell ref="A10:F10"/>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showGridLines="0" workbookViewId="0">
      <pane ySplit="1" topLeftCell="A2" activePane="bottomLeft" state="frozen"/>
      <selection pane="bottomLeft" sqref="A1:XFD1048576"/>
    </sheetView>
  </sheetViews>
  <sheetFormatPr baseColWidth="10" defaultColWidth="8.88671875" defaultRowHeight="14.4" x14ac:dyDescent="0.3"/>
  <cols>
    <col min="1" max="1" width="4" customWidth="1"/>
    <col min="2" max="2" width="30" customWidth="1"/>
    <col min="3" max="4" width="35" customWidth="1"/>
    <col min="5" max="5" width="30" customWidth="1"/>
    <col min="6" max="6" width="40" customWidth="1"/>
    <col min="7" max="7" width="35" customWidth="1"/>
    <col min="8" max="8" width="40" customWidth="1"/>
  </cols>
  <sheetData>
    <row r="1" spans="1:8" ht="34.950000000000003" customHeight="1" x14ac:dyDescent="0.3">
      <c r="A1" s="85" t="s">
        <v>34</v>
      </c>
      <c r="B1" s="86"/>
      <c r="C1" s="86"/>
      <c r="D1" s="86"/>
      <c r="E1" s="86"/>
      <c r="F1" s="86"/>
      <c r="G1" s="86"/>
      <c r="H1" s="86"/>
    </row>
    <row r="3" spans="1:8" ht="15.6" customHeight="1" x14ac:dyDescent="0.3">
      <c r="A3" s="88" t="s">
        <v>35</v>
      </c>
      <c r="B3" s="86"/>
      <c r="C3" s="86"/>
      <c r="D3" s="86"/>
      <c r="E3" s="86"/>
      <c r="F3" s="86"/>
      <c r="G3" s="86"/>
      <c r="H3" s="86"/>
    </row>
    <row r="4" spans="1:8" x14ac:dyDescent="0.3">
      <c r="A4" s="13" t="s">
        <v>1</v>
      </c>
      <c r="B4" s="13" t="s">
        <v>36</v>
      </c>
      <c r="C4" s="13" t="s">
        <v>37</v>
      </c>
      <c r="D4" s="13" t="s">
        <v>6</v>
      </c>
      <c r="E4" s="13" t="s">
        <v>38</v>
      </c>
      <c r="F4" s="13" t="s">
        <v>39</v>
      </c>
      <c r="G4" s="13" t="s">
        <v>40</v>
      </c>
      <c r="H4" s="13" t="s">
        <v>41</v>
      </c>
    </row>
    <row r="5" spans="1:8" ht="70.05" customHeight="1" x14ac:dyDescent="0.3">
      <c r="A5" s="14">
        <v>1</v>
      </c>
      <c r="B5" s="15" t="s">
        <v>42</v>
      </c>
      <c r="C5" s="16">
        <v>109</v>
      </c>
      <c r="D5" s="17" t="s">
        <v>43</v>
      </c>
      <c r="E5" s="18" t="s">
        <v>44</v>
      </c>
      <c r="F5" s="18" t="s">
        <v>45</v>
      </c>
      <c r="G5" s="19" t="s">
        <v>46</v>
      </c>
      <c r="H5" s="20" t="s">
        <v>47</v>
      </c>
    </row>
    <row r="6" spans="1:8" ht="70.05" customHeight="1" x14ac:dyDescent="0.3">
      <c r="A6" s="21">
        <v>2</v>
      </c>
      <c r="B6" s="22" t="s">
        <v>48</v>
      </c>
      <c r="C6" s="23">
        <v>92</v>
      </c>
      <c r="D6" s="24" t="s">
        <v>49</v>
      </c>
      <c r="E6" s="25" t="s">
        <v>50</v>
      </c>
      <c r="F6" s="25" t="s">
        <v>51</v>
      </c>
      <c r="G6" s="26" t="s">
        <v>52</v>
      </c>
      <c r="H6" s="27" t="s">
        <v>53</v>
      </c>
    </row>
    <row r="7" spans="1:8" ht="70.05" customHeight="1" x14ac:dyDescent="0.3">
      <c r="A7" s="14">
        <v>3</v>
      </c>
      <c r="B7" s="15" t="s">
        <v>54</v>
      </c>
      <c r="C7" s="16">
        <v>60</v>
      </c>
      <c r="D7" s="17" t="s">
        <v>55</v>
      </c>
      <c r="E7" s="18" t="s">
        <v>56</v>
      </c>
      <c r="F7" s="18" t="s">
        <v>57</v>
      </c>
      <c r="G7" s="19" t="s">
        <v>58</v>
      </c>
      <c r="H7" s="20" t="s">
        <v>59</v>
      </c>
    </row>
    <row r="8" spans="1:8" ht="70.05" customHeight="1" x14ac:dyDescent="0.3">
      <c r="A8" s="21">
        <v>4</v>
      </c>
      <c r="B8" s="22" t="s">
        <v>60</v>
      </c>
      <c r="C8" s="23">
        <v>54</v>
      </c>
      <c r="D8" s="24" t="s">
        <v>61</v>
      </c>
      <c r="E8" s="25" t="s">
        <v>62</v>
      </c>
      <c r="F8" s="25" t="s">
        <v>63</v>
      </c>
      <c r="G8" s="26" t="s">
        <v>64</v>
      </c>
      <c r="H8" s="27" t="s">
        <v>65</v>
      </c>
    </row>
    <row r="9" spans="1:8" ht="70.05" customHeight="1" x14ac:dyDescent="0.3">
      <c r="A9" s="14">
        <v>5</v>
      </c>
      <c r="B9" s="15" t="s">
        <v>66</v>
      </c>
      <c r="C9" s="16">
        <v>8</v>
      </c>
      <c r="D9" s="17" t="s">
        <v>67</v>
      </c>
      <c r="E9" s="18" t="s">
        <v>68</v>
      </c>
      <c r="F9" s="18" t="s">
        <v>69</v>
      </c>
      <c r="G9" s="19" t="s">
        <v>70</v>
      </c>
      <c r="H9" s="20" t="s">
        <v>71</v>
      </c>
    </row>
    <row r="10" spans="1:8" ht="70.05" customHeight="1" x14ac:dyDescent="0.3">
      <c r="A10" s="21">
        <v>6</v>
      </c>
      <c r="B10" s="22" t="s">
        <v>72</v>
      </c>
      <c r="C10" s="23">
        <v>7</v>
      </c>
      <c r="D10" s="24" t="s">
        <v>73</v>
      </c>
      <c r="E10" s="25" t="s">
        <v>74</v>
      </c>
      <c r="F10" s="25" t="s">
        <v>75</v>
      </c>
      <c r="G10" s="26" t="s">
        <v>76</v>
      </c>
      <c r="H10" s="27" t="s">
        <v>77</v>
      </c>
    </row>
    <row r="11" spans="1:8" ht="70.05" customHeight="1" x14ac:dyDescent="0.3">
      <c r="A11" s="14">
        <v>7</v>
      </c>
      <c r="B11" s="15" t="s">
        <v>78</v>
      </c>
      <c r="C11" s="16">
        <v>3</v>
      </c>
      <c r="D11" s="17" t="s">
        <v>79</v>
      </c>
      <c r="E11" s="18" t="s">
        <v>80</v>
      </c>
      <c r="F11" s="18" t="s">
        <v>81</v>
      </c>
      <c r="G11" s="19" t="s">
        <v>82</v>
      </c>
      <c r="H11" s="20" t="s">
        <v>83</v>
      </c>
    </row>
    <row r="12" spans="1:8" ht="70.05" customHeight="1" x14ac:dyDescent="0.3">
      <c r="A12" s="21">
        <v>8</v>
      </c>
      <c r="B12" s="22" t="s">
        <v>84</v>
      </c>
      <c r="C12" s="23">
        <v>1</v>
      </c>
      <c r="D12" s="24" t="s">
        <v>85</v>
      </c>
      <c r="E12" s="25" t="s">
        <v>86</v>
      </c>
      <c r="F12" s="25" t="s">
        <v>87</v>
      </c>
      <c r="G12" s="26" t="s">
        <v>88</v>
      </c>
      <c r="H12" s="27" t="s">
        <v>89</v>
      </c>
    </row>
    <row r="13" spans="1:8" ht="70.05" customHeight="1" x14ac:dyDescent="0.3">
      <c r="A13" s="14">
        <v>9</v>
      </c>
      <c r="B13" s="15" t="s">
        <v>90</v>
      </c>
      <c r="C13" s="16">
        <v>1</v>
      </c>
      <c r="D13" s="17" t="s">
        <v>85</v>
      </c>
      <c r="E13" s="18" t="s">
        <v>91</v>
      </c>
      <c r="F13" s="18" t="s">
        <v>92</v>
      </c>
      <c r="G13" s="19" t="s">
        <v>93</v>
      </c>
      <c r="H13" s="20" t="s">
        <v>94</v>
      </c>
    </row>
    <row r="14" spans="1:8" ht="70.05" customHeight="1" x14ac:dyDescent="0.3">
      <c r="A14" s="21">
        <v>10</v>
      </c>
      <c r="B14" s="22" t="s">
        <v>95</v>
      </c>
      <c r="C14" s="23">
        <v>8</v>
      </c>
      <c r="D14" s="24" t="s">
        <v>67</v>
      </c>
      <c r="E14" s="25" t="s">
        <v>96</v>
      </c>
      <c r="F14" s="25" t="s">
        <v>97</v>
      </c>
      <c r="G14" s="26" t="s">
        <v>98</v>
      </c>
      <c r="H14" s="27" t="s">
        <v>99</v>
      </c>
    </row>
    <row r="15" spans="1:8" ht="17.399999999999999" customHeight="1" x14ac:dyDescent="0.3">
      <c r="A15" s="28"/>
      <c r="B15" s="29" t="s">
        <v>100</v>
      </c>
      <c r="C15" s="30">
        <f>SUM(C5:C14)</f>
        <v>343</v>
      </c>
      <c r="D15" s="31"/>
      <c r="E15" s="31"/>
      <c r="F15" s="31"/>
      <c r="G15" s="31"/>
      <c r="H15" s="31"/>
    </row>
    <row r="17" spans="1:8" ht="15.6" customHeight="1" x14ac:dyDescent="0.3">
      <c r="A17" s="88" t="s">
        <v>101</v>
      </c>
      <c r="B17" s="86"/>
      <c r="C17" s="86"/>
      <c r="D17" s="86"/>
      <c r="E17" s="86"/>
      <c r="F17" s="86"/>
      <c r="G17" s="86"/>
      <c r="H17" s="86"/>
    </row>
    <row r="18" spans="1:8" x14ac:dyDescent="0.3">
      <c r="A18" s="13" t="s">
        <v>1</v>
      </c>
      <c r="B18" s="13" t="s">
        <v>102</v>
      </c>
      <c r="C18" s="13" t="s">
        <v>103</v>
      </c>
      <c r="D18" s="13" t="s">
        <v>104</v>
      </c>
      <c r="E18" s="13" t="s">
        <v>105</v>
      </c>
      <c r="F18" s="13" t="s">
        <v>106</v>
      </c>
      <c r="G18" s="13" t="s">
        <v>107</v>
      </c>
      <c r="H18" s="13" t="s">
        <v>108</v>
      </c>
    </row>
    <row r="19" spans="1:8" ht="60" customHeight="1" x14ac:dyDescent="0.3">
      <c r="A19" s="17">
        <v>1</v>
      </c>
      <c r="B19" s="32" t="s">
        <v>109</v>
      </c>
      <c r="C19" s="18" t="s">
        <v>110</v>
      </c>
      <c r="D19" s="18" t="s">
        <v>111</v>
      </c>
      <c r="E19" s="19" t="s">
        <v>112</v>
      </c>
      <c r="F19" s="33" t="s">
        <v>113</v>
      </c>
      <c r="G19" s="20" t="s">
        <v>114</v>
      </c>
      <c r="H19" s="34" t="s">
        <v>115</v>
      </c>
    </row>
    <row r="20" spans="1:8" ht="60" customHeight="1" x14ac:dyDescent="0.3">
      <c r="A20" s="24">
        <v>2</v>
      </c>
      <c r="B20" s="35" t="s">
        <v>116</v>
      </c>
      <c r="C20" s="25" t="s">
        <v>117</v>
      </c>
      <c r="D20" s="25" t="s">
        <v>118</v>
      </c>
      <c r="E20" s="26" t="s">
        <v>119</v>
      </c>
      <c r="F20" s="36" t="s">
        <v>113</v>
      </c>
      <c r="G20" s="27" t="s">
        <v>120</v>
      </c>
      <c r="H20" s="37" t="s">
        <v>115</v>
      </c>
    </row>
    <row r="21" spans="1:8" ht="60" customHeight="1" x14ac:dyDescent="0.3">
      <c r="A21" s="17">
        <v>3</v>
      </c>
      <c r="B21" s="32" t="s">
        <v>121</v>
      </c>
      <c r="C21" s="18" t="s">
        <v>122</v>
      </c>
      <c r="D21" s="18" t="s">
        <v>123</v>
      </c>
      <c r="E21" s="19" t="s">
        <v>124</v>
      </c>
      <c r="F21" s="33" t="s">
        <v>113</v>
      </c>
      <c r="G21" s="20" t="s">
        <v>125</v>
      </c>
      <c r="H21" s="34" t="s">
        <v>115</v>
      </c>
    </row>
    <row r="22" spans="1:8" ht="60" customHeight="1" x14ac:dyDescent="0.3">
      <c r="A22" s="24">
        <v>4</v>
      </c>
      <c r="B22" s="35" t="s">
        <v>126</v>
      </c>
      <c r="C22" s="25" t="s">
        <v>127</v>
      </c>
      <c r="D22" s="25" t="s">
        <v>128</v>
      </c>
      <c r="E22" s="26" t="s">
        <v>129</v>
      </c>
      <c r="F22" s="36" t="s">
        <v>113</v>
      </c>
      <c r="G22" s="27" t="s">
        <v>130</v>
      </c>
      <c r="H22" s="37" t="s">
        <v>115</v>
      </c>
    </row>
    <row r="23" spans="1:8" ht="60" customHeight="1" x14ac:dyDescent="0.3">
      <c r="A23" s="17">
        <v>5</v>
      </c>
      <c r="B23" s="32" t="s">
        <v>131</v>
      </c>
      <c r="C23" s="18" t="s">
        <v>132</v>
      </c>
      <c r="D23" s="18" t="s">
        <v>133</v>
      </c>
      <c r="E23" s="19" t="s">
        <v>134</v>
      </c>
      <c r="F23" s="33" t="s">
        <v>113</v>
      </c>
      <c r="G23" s="20" t="s">
        <v>135</v>
      </c>
      <c r="H23" s="38" t="s">
        <v>136</v>
      </c>
    </row>
    <row r="24" spans="1:8" ht="60" customHeight="1" x14ac:dyDescent="0.3">
      <c r="A24" s="24">
        <v>6</v>
      </c>
      <c r="B24" s="35" t="s">
        <v>137</v>
      </c>
      <c r="C24" s="25" t="s">
        <v>138</v>
      </c>
      <c r="D24" s="25" t="s">
        <v>139</v>
      </c>
      <c r="E24" s="26" t="s">
        <v>140</v>
      </c>
      <c r="F24" s="36" t="s">
        <v>141</v>
      </c>
      <c r="G24" s="27" t="s">
        <v>142</v>
      </c>
      <c r="H24" s="37" t="s">
        <v>115</v>
      </c>
    </row>
    <row r="25" spans="1:8" ht="60" customHeight="1" x14ac:dyDescent="0.3">
      <c r="A25" s="17">
        <v>7</v>
      </c>
      <c r="B25" s="32" t="s">
        <v>143</v>
      </c>
      <c r="C25" s="18" t="s">
        <v>144</v>
      </c>
      <c r="D25" s="18" t="s">
        <v>145</v>
      </c>
      <c r="E25" s="19" t="s">
        <v>146</v>
      </c>
      <c r="F25" s="38" t="s">
        <v>147</v>
      </c>
      <c r="G25" s="20" t="s">
        <v>148</v>
      </c>
      <c r="H25" s="38" t="s">
        <v>136</v>
      </c>
    </row>
    <row r="26" spans="1:8" ht="60" customHeight="1" x14ac:dyDescent="0.3">
      <c r="A26" s="24">
        <v>8</v>
      </c>
      <c r="B26" s="35" t="s">
        <v>149</v>
      </c>
      <c r="C26" s="25" t="s">
        <v>150</v>
      </c>
      <c r="D26" s="25" t="s">
        <v>151</v>
      </c>
      <c r="E26" s="26" t="s">
        <v>152</v>
      </c>
      <c r="F26" s="36" t="s">
        <v>113</v>
      </c>
      <c r="G26" s="27" t="s">
        <v>153</v>
      </c>
      <c r="H26" s="37" t="s">
        <v>115</v>
      </c>
    </row>
    <row r="28" spans="1:8" ht="15.6" customHeight="1" x14ac:dyDescent="0.3">
      <c r="A28" s="88" t="s">
        <v>154</v>
      </c>
      <c r="B28" s="86"/>
      <c r="C28" s="86"/>
      <c r="D28" s="86"/>
      <c r="E28" s="86"/>
      <c r="F28" s="86"/>
      <c r="G28" s="86"/>
      <c r="H28" s="86"/>
    </row>
    <row r="29" spans="1:8" x14ac:dyDescent="0.3">
      <c r="A29" s="13" t="s">
        <v>1</v>
      </c>
      <c r="B29" s="13" t="s">
        <v>155</v>
      </c>
      <c r="C29" s="13" t="s">
        <v>156</v>
      </c>
      <c r="D29" s="13" t="s">
        <v>157</v>
      </c>
      <c r="E29" s="13" t="s">
        <v>158</v>
      </c>
    </row>
    <row r="30" spans="1:8" ht="70.05" customHeight="1" x14ac:dyDescent="0.3">
      <c r="A30" s="39">
        <v>1</v>
      </c>
      <c r="B30" s="40" t="s">
        <v>159</v>
      </c>
      <c r="C30" s="39" t="s">
        <v>160</v>
      </c>
      <c r="D30" s="39" t="s">
        <v>161</v>
      </c>
      <c r="E30" s="41" t="s">
        <v>162</v>
      </c>
    </row>
    <row r="31" spans="1:8" ht="70.05" customHeight="1" x14ac:dyDescent="0.3">
      <c r="A31" s="42">
        <v>2</v>
      </c>
      <c r="B31" s="43" t="s">
        <v>163</v>
      </c>
      <c r="C31" s="42" t="s">
        <v>160</v>
      </c>
      <c r="D31" s="42" t="s">
        <v>164</v>
      </c>
      <c r="E31" s="44" t="s">
        <v>165</v>
      </c>
    </row>
    <row r="32" spans="1:8" ht="70.05" customHeight="1" x14ac:dyDescent="0.3">
      <c r="A32" s="39">
        <v>3</v>
      </c>
      <c r="B32" s="40" t="s">
        <v>166</v>
      </c>
      <c r="C32" s="39" t="s">
        <v>167</v>
      </c>
      <c r="D32" s="39" t="s">
        <v>168</v>
      </c>
      <c r="E32" s="41" t="s">
        <v>169</v>
      </c>
    </row>
    <row r="33" spans="1:8" ht="70.05" customHeight="1" x14ac:dyDescent="0.3">
      <c r="A33" s="42">
        <v>4</v>
      </c>
      <c r="B33" s="43" t="s">
        <v>170</v>
      </c>
      <c r="C33" s="42" t="s">
        <v>171</v>
      </c>
      <c r="D33" s="42" t="s">
        <v>172</v>
      </c>
      <c r="E33" s="44" t="s">
        <v>173</v>
      </c>
    </row>
    <row r="35" spans="1:8" ht="15.6" customHeight="1" x14ac:dyDescent="0.3">
      <c r="A35" s="88" t="s">
        <v>174</v>
      </c>
      <c r="B35" s="86"/>
      <c r="C35" s="86"/>
      <c r="D35" s="86"/>
      <c r="E35" s="86"/>
      <c r="F35" s="86"/>
      <c r="G35" s="86"/>
      <c r="H35" s="86"/>
    </row>
    <row r="36" spans="1:8" ht="39.6" customHeight="1" x14ac:dyDescent="0.3">
      <c r="A36" s="13" t="s">
        <v>175</v>
      </c>
      <c r="B36" s="13" t="s">
        <v>176</v>
      </c>
    </row>
    <row r="37" spans="1:8" ht="40.049999999999997" customHeight="1" x14ac:dyDescent="0.3">
      <c r="A37" s="45" t="s">
        <v>177</v>
      </c>
      <c r="B37" s="92" t="s">
        <v>178</v>
      </c>
      <c r="C37" s="90"/>
      <c r="D37" s="90"/>
      <c r="E37" s="90"/>
      <c r="F37" s="90"/>
      <c r="G37" s="90"/>
      <c r="H37" s="91"/>
    </row>
    <row r="38" spans="1:8" ht="40.049999999999997" customHeight="1" x14ac:dyDescent="0.3">
      <c r="A38" s="46" t="s">
        <v>179</v>
      </c>
      <c r="B38" s="89" t="s">
        <v>180</v>
      </c>
      <c r="C38" s="90"/>
      <c r="D38" s="90"/>
      <c r="E38" s="90"/>
      <c r="F38" s="90"/>
      <c r="G38" s="90"/>
      <c r="H38" s="91"/>
    </row>
    <row r="39" spans="1:8" ht="40.049999999999997" customHeight="1" x14ac:dyDescent="0.3">
      <c r="A39" s="45" t="s">
        <v>181</v>
      </c>
      <c r="B39" s="92" t="s">
        <v>182</v>
      </c>
      <c r="C39" s="90"/>
      <c r="D39" s="90"/>
      <c r="E39" s="90"/>
      <c r="F39" s="90"/>
      <c r="G39" s="90"/>
      <c r="H39" s="91"/>
    </row>
    <row r="40" spans="1:8" ht="40.049999999999997" customHeight="1" x14ac:dyDescent="0.3">
      <c r="A40" s="46" t="s">
        <v>183</v>
      </c>
      <c r="B40" s="89" t="s">
        <v>184</v>
      </c>
      <c r="C40" s="90"/>
      <c r="D40" s="90"/>
      <c r="E40" s="90"/>
      <c r="F40" s="90"/>
      <c r="G40" s="90"/>
      <c r="H40" s="91"/>
    </row>
    <row r="41" spans="1:8" ht="40.049999999999997" customHeight="1" x14ac:dyDescent="0.3">
      <c r="A41" s="45" t="s">
        <v>185</v>
      </c>
      <c r="B41" s="92" t="s">
        <v>186</v>
      </c>
      <c r="C41" s="90"/>
      <c r="D41" s="90"/>
      <c r="E41" s="90"/>
      <c r="F41" s="90"/>
      <c r="G41" s="90"/>
      <c r="H41" s="91"/>
    </row>
    <row r="42" spans="1:8" ht="40.049999999999997" customHeight="1" x14ac:dyDescent="0.3">
      <c r="A42" s="46" t="s">
        <v>187</v>
      </c>
      <c r="B42" s="89" t="s">
        <v>188</v>
      </c>
      <c r="C42" s="90"/>
      <c r="D42" s="90"/>
      <c r="E42" s="90"/>
      <c r="F42" s="90"/>
      <c r="G42" s="90"/>
      <c r="H42" s="91"/>
    </row>
    <row r="43" spans="1:8" ht="40.049999999999997" customHeight="1" x14ac:dyDescent="0.3">
      <c r="A43" s="45" t="s">
        <v>189</v>
      </c>
      <c r="B43" s="92" t="s">
        <v>190</v>
      </c>
      <c r="C43" s="90"/>
      <c r="D43" s="90"/>
      <c r="E43" s="90"/>
      <c r="F43" s="90"/>
      <c r="G43" s="90"/>
      <c r="H43" s="91"/>
    </row>
    <row r="44" spans="1:8" ht="40.049999999999997" customHeight="1" x14ac:dyDescent="0.3">
      <c r="A44" s="46" t="s">
        <v>191</v>
      </c>
      <c r="B44" s="89" t="s">
        <v>192</v>
      </c>
      <c r="C44" s="90"/>
      <c r="D44" s="90"/>
      <c r="E44" s="90"/>
      <c r="F44" s="90"/>
      <c r="G44" s="90"/>
      <c r="H44" s="91"/>
    </row>
    <row r="46" spans="1:8" x14ac:dyDescent="0.3">
      <c r="A46" s="87" t="s">
        <v>193</v>
      </c>
      <c r="B46" s="86"/>
      <c r="C46" s="86"/>
      <c r="D46" s="86"/>
      <c r="E46" s="86"/>
      <c r="F46" s="86"/>
      <c r="G46" s="86"/>
      <c r="H46" s="86"/>
    </row>
  </sheetData>
  <mergeCells count="14">
    <mergeCell ref="A46:H46"/>
    <mergeCell ref="B37:H37"/>
    <mergeCell ref="A17:H17"/>
    <mergeCell ref="B44:H44"/>
    <mergeCell ref="B43:H43"/>
    <mergeCell ref="B39:H39"/>
    <mergeCell ref="A28:H28"/>
    <mergeCell ref="B38:H38"/>
    <mergeCell ref="B42:H42"/>
    <mergeCell ref="A1:H1"/>
    <mergeCell ref="A3:H3"/>
    <mergeCell ref="B40:H40"/>
    <mergeCell ref="B41:H41"/>
    <mergeCell ref="A35:H35"/>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1"/>
  <sheetViews>
    <sheetView tabSelected="1" workbookViewId="0">
      <pane ySplit="1" topLeftCell="A2" activePane="bottomLeft" state="frozen"/>
      <selection pane="bottomLeft" activeCell="A201" sqref="A1:O201"/>
    </sheetView>
  </sheetViews>
  <sheetFormatPr baseColWidth="10" defaultColWidth="8.88671875" defaultRowHeight="14.4" x14ac:dyDescent="0.3"/>
  <cols>
    <col min="1" max="1" width="4" style="94" customWidth="1"/>
    <col min="2" max="2" width="22" style="127" customWidth="1"/>
    <col min="3" max="3" width="28" style="94" customWidth="1"/>
    <col min="4" max="4" width="22" style="94" customWidth="1"/>
    <col min="5" max="5" width="35" style="94" customWidth="1"/>
    <col min="6" max="6" width="45" style="94" customWidth="1"/>
    <col min="7" max="7" width="55" style="94" customWidth="1"/>
    <col min="8" max="8" width="30" style="94" customWidth="1"/>
    <col min="9" max="11" width="18" style="94" customWidth="1"/>
    <col min="12" max="12" width="7" style="94" customWidth="1"/>
    <col min="13" max="14" width="20" style="94" customWidth="1"/>
    <col min="15" max="15" width="12" style="94" customWidth="1"/>
    <col min="16" max="16384" width="8.88671875" style="94"/>
  </cols>
  <sheetData>
    <row r="1" spans="1:15" ht="30" customHeight="1" x14ac:dyDescent="0.3">
      <c r="A1" s="93" t="s">
        <v>1</v>
      </c>
      <c r="B1" s="93" t="s">
        <v>194</v>
      </c>
      <c r="C1" s="93" t="s">
        <v>195</v>
      </c>
      <c r="D1" s="93" t="s">
        <v>196</v>
      </c>
      <c r="E1" s="93" t="s">
        <v>197</v>
      </c>
      <c r="F1" s="93" t="s">
        <v>157</v>
      </c>
      <c r="G1" s="93" t="s">
        <v>198</v>
      </c>
      <c r="H1" s="93" t="s">
        <v>199</v>
      </c>
      <c r="I1" s="93" t="s">
        <v>200</v>
      </c>
      <c r="J1" s="93" t="s">
        <v>201</v>
      </c>
      <c r="K1" s="93" t="s">
        <v>202</v>
      </c>
      <c r="L1" s="93" t="s">
        <v>108</v>
      </c>
      <c r="M1" s="93" t="s">
        <v>203</v>
      </c>
      <c r="N1" s="93" t="s">
        <v>204</v>
      </c>
      <c r="O1" s="93" t="s">
        <v>205</v>
      </c>
    </row>
    <row r="2" spans="1:15" ht="70.05" customHeight="1" x14ac:dyDescent="0.3">
      <c r="A2" s="95">
        <v>1</v>
      </c>
      <c r="B2" s="96" t="s">
        <v>7</v>
      </c>
      <c r="C2" s="97" t="s">
        <v>206</v>
      </c>
      <c r="D2" s="98" t="s">
        <v>207</v>
      </c>
      <c r="E2" s="99" t="s">
        <v>208</v>
      </c>
      <c r="F2" s="98" t="s">
        <v>209</v>
      </c>
      <c r="G2" s="100" t="s">
        <v>210</v>
      </c>
      <c r="H2" s="98" t="s">
        <v>211</v>
      </c>
      <c r="I2" s="98" t="s">
        <v>212</v>
      </c>
      <c r="J2" s="98" t="s">
        <v>213</v>
      </c>
      <c r="K2" s="98" t="s">
        <v>214</v>
      </c>
      <c r="L2" s="101" t="s">
        <v>136</v>
      </c>
      <c r="M2" s="98" t="s">
        <v>215</v>
      </c>
      <c r="N2" s="98" t="s">
        <v>216</v>
      </c>
      <c r="O2" s="102" t="s">
        <v>217</v>
      </c>
    </row>
    <row r="3" spans="1:15" ht="70.05" customHeight="1" x14ac:dyDescent="0.3">
      <c r="A3" s="103">
        <v>2</v>
      </c>
      <c r="B3" s="104"/>
      <c r="C3" s="105"/>
      <c r="D3" s="106" t="s">
        <v>207</v>
      </c>
      <c r="E3" s="107" t="s">
        <v>218</v>
      </c>
      <c r="F3" s="106" t="s">
        <v>219</v>
      </c>
      <c r="G3" s="108" t="s">
        <v>220</v>
      </c>
      <c r="H3" s="106" t="s">
        <v>221</v>
      </c>
      <c r="I3" s="106" t="s">
        <v>222</v>
      </c>
      <c r="J3" s="106" t="s">
        <v>223</v>
      </c>
      <c r="K3" s="106" t="s">
        <v>224</v>
      </c>
      <c r="L3" s="109" t="s">
        <v>136</v>
      </c>
      <c r="M3" s="106" t="s">
        <v>215</v>
      </c>
      <c r="N3" s="106" t="s">
        <v>225</v>
      </c>
      <c r="O3" s="110" t="s">
        <v>226</v>
      </c>
    </row>
    <row r="4" spans="1:15" ht="70.05" customHeight="1" x14ac:dyDescent="0.3">
      <c r="A4" s="95">
        <v>3</v>
      </c>
      <c r="B4" s="104"/>
      <c r="C4" s="105"/>
      <c r="D4" s="98" t="s">
        <v>207</v>
      </c>
      <c r="E4" s="99" t="s">
        <v>227</v>
      </c>
      <c r="F4" s="98" t="s">
        <v>228</v>
      </c>
      <c r="G4" s="100" t="s">
        <v>229</v>
      </c>
      <c r="H4" s="98" t="s">
        <v>230</v>
      </c>
      <c r="I4" s="98" t="s">
        <v>231</v>
      </c>
      <c r="J4" s="98" t="s">
        <v>232</v>
      </c>
      <c r="K4" s="98" t="s">
        <v>233</v>
      </c>
      <c r="L4" s="111" t="s">
        <v>115</v>
      </c>
      <c r="M4" s="98" t="s">
        <v>215</v>
      </c>
      <c r="N4" s="98" t="s">
        <v>234</v>
      </c>
      <c r="O4" s="102" t="s">
        <v>217</v>
      </c>
    </row>
    <row r="5" spans="1:15" ht="70.05" customHeight="1" x14ac:dyDescent="0.3">
      <c r="A5" s="103">
        <v>4</v>
      </c>
      <c r="B5" s="104"/>
      <c r="C5" s="105"/>
      <c r="D5" s="106" t="s">
        <v>207</v>
      </c>
      <c r="E5" s="107" t="s">
        <v>235</v>
      </c>
      <c r="F5" s="106" t="s">
        <v>236</v>
      </c>
      <c r="G5" s="108" t="s">
        <v>237</v>
      </c>
      <c r="H5" s="106" t="s">
        <v>238</v>
      </c>
      <c r="I5" s="106" t="s">
        <v>239</v>
      </c>
      <c r="J5" s="106" t="s">
        <v>240</v>
      </c>
      <c r="K5" s="106" t="s">
        <v>241</v>
      </c>
      <c r="L5" s="112" t="s">
        <v>242</v>
      </c>
      <c r="M5" s="106" t="s">
        <v>243</v>
      </c>
      <c r="N5" s="106" t="s">
        <v>244</v>
      </c>
      <c r="O5" s="110" t="s">
        <v>245</v>
      </c>
    </row>
    <row r="6" spans="1:15" ht="70.05" customHeight="1" x14ac:dyDescent="0.3">
      <c r="A6" s="95">
        <v>5</v>
      </c>
      <c r="B6" s="104"/>
      <c r="C6" s="105"/>
      <c r="D6" s="98" t="s">
        <v>207</v>
      </c>
      <c r="E6" s="99" t="s">
        <v>246</v>
      </c>
      <c r="F6" s="98" t="s">
        <v>247</v>
      </c>
      <c r="G6" s="100" t="s">
        <v>248</v>
      </c>
      <c r="H6" s="98" t="s">
        <v>249</v>
      </c>
      <c r="I6" s="98" t="s">
        <v>250</v>
      </c>
      <c r="J6" s="98" t="s">
        <v>251</v>
      </c>
      <c r="K6" s="98" t="s">
        <v>252</v>
      </c>
      <c r="L6" s="101" t="s">
        <v>136</v>
      </c>
      <c r="M6" s="98" t="s">
        <v>253</v>
      </c>
      <c r="N6" s="98" t="s">
        <v>254</v>
      </c>
      <c r="O6" s="102" t="s">
        <v>255</v>
      </c>
    </row>
    <row r="7" spans="1:15" ht="70.05" customHeight="1" x14ac:dyDescent="0.3">
      <c r="A7" s="103">
        <v>6</v>
      </c>
      <c r="B7" s="104"/>
      <c r="C7" s="105"/>
      <c r="D7" s="106" t="s">
        <v>207</v>
      </c>
      <c r="E7" s="107" t="s">
        <v>256</v>
      </c>
      <c r="F7" s="106" t="s">
        <v>257</v>
      </c>
      <c r="G7" s="108" t="s">
        <v>258</v>
      </c>
      <c r="H7" s="106" t="s">
        <v>259</v>
      </c>
      <c r="I7" s="106" t="s">
        <v>260</v>
      </c>
      <c r="J7" s="106" t="s">
        <v>261</v>
      </c>
      <c r="K7" s="106" t="s">
        <v>262</v>
      </c>
      <c r="L7" s="109" t="s">
        <v>136</v>
      </c>
      <c r="M7" s="106" t="s">
        <v>215</v>
      </c>
      <c r="N7" s="106" t="s">
        <v>263</v>
      </c>
      <c r="O7" s="110" t="s">
        <v>226</v>
      </c>
    </row>
    <row r="8" spans="1:15" ht="70.05" customHeight="1" x14ac:dyDescent="0.3">
      <c r="A8" s="95">
        <v>7</v>
      </c>
      <c r="B8" s="104"/>
      <c r="C8" s="97" t="s">
        <v>264</v>
      </c>
      <c r="D8" s="98" t="s">
        <v>207</v>
      </c>
      <c r="E8" s="99" t="s">
        <v>265</v>
      </c>
      <c r="F8" s="98" t="s">
        <v>266</v>
      </c>
      <c r="G8" s="100" t="s">
        <v>267</v>
      </c>
      <c r="H8" s="98" t="s">
        <v>268</v>
      </c>
      <c r="I8" s="98" t="s">
        <v>269</v>
      </c>
      <c r="J8" s="98" t="s">
        <v>270</v>
      </c>
      <c r="K8" s="98" t="s">
        <v>271</v>
      </c>
      <c r="L8" s="101" t="s">
        <v>136</v>
      </c>
      <c r="M8" s="98" t="s">
        <v>272</v>
      </c>
      <c r="N8" s="98" t="s">
        <v>273</v>
      </c>
      <c r="O8" s="102" t="s">
        <v>274</v>
      </c>
    </row>
    <row r="9" spans="1:15" ht="70.05" customHeight="1" x14ac:dyDescent="0.3">
      <c r="A9" s="103">
        <v>8</v>
      </c>
      <c r="B9" s="104"/>
      <c r="C9" s="105"/>
      <c r="D9" s="106" t="s">
        <v>207</v>
      </c>
      <c r="E9" s="107" t="s">
        <v>275</v>
      </c>
      <c r="F9" s="106" t="s">
        <v>276</v>
      </c>
      <c r="G9" s="108" t="s">
        <v>277</v>
      </c>
      <c r="H9" s="106" t="s">
        <v>278</v>
      </c>
      <c r="I9" s="106" t="s">
        <v>279</v>
      </c>
      <c r="J9" s="106" t="s">
        <v>280</v>
      </c>
      <c r="K9" s="106" t="s">
        <v>281</v>
      </c>
      <c r="L9" s="112" t="s">
        <v>242</v>
      </c>
      <c r="M9" s="106" t="s">
        <v>243</v>
      </c>
      <c r="N9" s="106" t="s">
        <v>282</v>
      </c>
      <c r="O9" s="110" t="s">
        <v>274</v>
      </c>
    </row>
    <row r="10" spans="1:15" ht="70.05" customHeight="1" x14ac:dyDescent="0.3">
      <c r="A10" s="95">
        <v>9</v>
      </c>
      <c r="B10" s="104"/>
      <c r="C10" s="105"/>
      <c r="D10" s="98" t="s">
        <v>207</v>
      </c>
      <c r="E10" s="99" t="s">
        <v>283</v>
      </c>
      <c r="F10" s="98" t="s">
        <v>284</v>
      </c>
      <c r="G10" s="100" t="s">
        <v>285</v>
      </c>
      <c r="H10" s="98" t="s">
        <v>286</v>
      </c>
      <c r="I10" s="98" t="s">
        <v>287</v>
      </c>
      <c r="J10" s="98" t="s">
        <v>288</v>
      </c>
      <c r="K10" s="98" t="s">
        <v>289</v>
      </c>
      <c r="L10" s="111" t="s">
        <v>115</v>
      </c>
      <c r="M10" s="98" t="s">
        <v>290</v>
      </c>
      <c r="N10" s="98" t="s">
        <v>291</v>
      </c>
      <c r="O10" s="102" t="s">
        <v>217</v>
      </c>
    </row>
    <row r="11" spans="1:15" ht="70.05" customHeight="1" x14ac:dyDescent="0.3">
      <c r="A11" s="103">
        <v>10</v>
      </c>
      <c r="B11" s="104"/>
      <c r="C11" s="105"/>
      <c r="D11" s="106" t="s">
        <v>207</v>
      </c>
      <c r="E11" s="107" t="s">
        <v>292</v>
      </c>
      <c r="F11" s="106" t="s">
        <v>293</v>
      </c>
      <c r="G11" s="108" t="s">
        <v>294</v>
      </c>
      <c r="H11" s="106" t="s">
        <v>295</v>
      </c>
      <c r="I11" s="106" t="s">
        <v>296</v>
      </c>
      <c r="J11" s="106" t="s">
        <v>297</v>
      </c>
      <c r="K11" s="106" t="s">
        <v>298</v>
      </c>
      <c r="L11" s="113" t="s">
        <v>115</v>
      </c>
      <c r="M11" s="106" t="s">
        <v>299</v>
      </c>
      <c r="N11" s="106" t="s">
        <v>300</v>
      </c>
      <c r="O11" s="110" t="s">
        <v>301</v>
      </c>
    </row>
    <row r="12" spans="1:15" ht="70.05" customHeight="1" x14ac:dyDescent="0.3">
      <c r="A12" s="95">
        <v>11</v>
      </c>
      <c r="B12" s="104"/>
      <c r="C12" s="105"/>
      <c r="D12" s="98" t="s">
        <v>207</v>
      </c>
      <c r="E12" s="99" t="s">
        <v>302</v>
      </c>
      <c r="F12" s="98" t="s">
        <v>303</v>
      </c>
      <c r="G12" s="100" t="s">
        <v>304</v>
      </c>
      <c r="H12" s="98" t="s">
        <v>305</v>
      </c>
      <c r="I12" s="98" t="s">
        <v>306</v>
      </c>
      <c r="J12" s="98" t="s">
        <v>307</v>
      </c>
      <c r="K12" s="98" t="s">
        <v>308</v>
      </c>
      <c r="L12" s="101" t="s">
        <v>136</v>
      </c>
      <c r="M12" s="98" t="s">
        <v>309</v>
      </c>
      <c r="N12" s="98" t="s">
        <v>310</v>
      </c>
      <c r="O12" s="102" t="s">
        <v>301</v>
      </c>
    </row>
    <row r="13" spans="1:15" ht="70.05" customHeight="1" x14ac:dyDescent="0.3">
      <c r="A13" s="103">
        <v>12</v>
      </c>
      <c r="B13" s="104"/>
      <c r="C13" s="114" t="s">
        <v>311</v>
      </c>
      <c r="D13" s="106" t="s">
        <v>207</v>
      </c>
      <c r="E13" s="107" t="s">
        <v>312</v>
      </c>
      <c r="F13" s="106" t="s">
        <v>313</v>
      </c>
      <c r="G13" s="108" t="s">
        <v>314</v>
      </c>
      <c r="H13" s="106" t="s">
        <v>315</v>
      </c>
      <c r="I13" s="106" t="s">
        <v>316</v>
      </c>
      <c r="J13" s="106" t="s">
        <v>317</v>
      </c>
      <c r="K13" s="106" t="s">
        <v>318</v>
      </c>
      <c r="L13" s="109" t="s">
        <v>136</v>
      </c>
      <c r="M13" s="106" t="s">
        <v>319</v>
      </c>
      <c r="N13" s="106" t="s">
        <v>320</v>
      </c>
      <c r="O13" s="110" t="s">
        <v>321</v>
      </c>
    </row>
    <row r="14" spans="1:15" ht="70.05" customHeight="1" x14ac:dyDescent="0.3">
      <c r="A14" s="95">
        <v>13</v>
      </c>
      <c r="B14" s="104"/>
      <c r="C14" s="105"/>
      <c r="D14" s="98" t="s">
        <v>207</v>
      </c>
      <c r="E14" s="99" t="s">
        <v>322</v>
      </c>
      <c r="F14" s="98" t="s">
        <v>323</v>
      </c>
      <c r="G14" s="100" t="s">
        <v>324</v>
      </c>
      <c r="H14" s="98" t="s">
        <v>325</v>
      </c>
      <c r="I14" s="98" t="s">
        <v>326</v>
      </c>
      <c r="J14" s="98" t="s">
        <v>327</v>
      </c>
      <c r="K14" s="98" t="s">
        <v>328</v>
      </c>
      <c r="L14" s="101" t="s">
        <v>136</v>
      </c>
      <c r="M14" s="98" t="s">
        <v>329</v>
      </c>
      <c r="N14" s="98" t="s">
        <v>330</v>
      </c>
      <c r="O14" s="102" t="s">
        <v>321</v>
      </c>
    </row>
    <row r="15" spans="1:15" ht="70.05" customHeight="1" x14ac:dyDescent="0.3">
      <c r="A15" s="103">
        <v>14</v>
      </c>
      <c r="B15" s="104"/>
      <c r="C15" s="114" t="s">
        <v>331</v>
      </c>
      <c r="D15" s="106" t="s">
        <v>332</v>
      </c>
      <c r="E15" s="107" t="s">
        <v>333</v>
      </c>
      <c r="F15" s="106" t="s">
        <v>334</v>
      </c>
      <c r="G15" s="108" t="s">
        <v>335</v>
      </c>
      <c r="H15" s="106" t="s">
        <v>336</v>
      </c>
      <c r="I15" s="106" t="s">
        <v>337</v>
      </c>
      <c r="J15" s="106" t="s">
        <v>338</v>
      </c>
      <c r="K15" s="106" t="s">
        <v>339</v>
      </c>
      <c r="L15" s="109" t="s">
        <v>136</v>
      </c>
      <c r="M15" s="106" t="s">
        <v>340</v>
      </c>
      <c r="N15" s="106" t="s">
        <v>341</v>
      </c>
      <c r="O15" s="110" t="s">
        <v>342</v>
      </c>
    </row>
    <row r="16" spans="1:15" ht="70.05" customHeight="1" x14ac:dyDescent="0.3">
      <c r="A16" s="95">
        <v>15</v>
      </c>
      <c r="B16" s="104"/>
      <c r="C16" s="105"/>
      <c r="D16" s="98" t="s">
        <v>332</v>
      </c>
      <c r="E16" s="99" t="s">
        <v>343</v>
      </c>
      <c r="F16" s="98" t="s">
        <v>344</v>
      </c>
      <c r="G16" s="100" t="s">
        <v>345</v>
      </c>
      <c r="H16" s="98" t="s">
        <v>346</v>
      </c>
      <c r="I16" s="98" t="s">
        <v>347</v>
      </c>
      <c r="J16" s="98" t="s">
        <v>348</v>
      </c>
      <c r="K16" s="98" t="s">
        <v>349</v>
      </c>
      <c r="L16" s="111" t="s">
        <v>115</v>
      </c>
      <c r="M16" s="98" t="s">
        <v>340</v>
      </c>
      <c r="N16" s="98" t="s">
        <v>341</v>
      </c>
      <c r="O16" s="102" t="s">
        <v>350</v>
      </c>
    </row>
    <row r="17" spans="1:15" ht="70.05" customHeight="1" x14ac:dyDescent="0.3">
      <c r="A17" s="103">
        <v>16</v>
      </c>
      <c r="B17" s="104"/>
      <c r="C17" s="114" t="s">
        <v>351</v>
      </c>
      <c r="D17" s="106" t="s">
        <v>352</v>
      </c>
      <c r="E17" s="107" t="s">
        <v>353</v>
      </c>
      <c r="F17" s="106" t="s">
        <v>354</v>
      </c>
      <c r="G17" s="108" t="s">
        <v>355</v>
      </c>
      <c r="H17" s="106" t="s">
        <v>356</v>
      </c>
      <c r="I17" s="106" t="s">
        <v>357</v>
      </c>
      <c r="J17" s="106" t="s">
        <v>358</v>
      </c>
      <c r="K17" s="106" t="s">
        <v>359</v>
      </c>
      <c r="L17" s="109" t="s">
        <v>136</v>
      </c>
      <c r="M17" s="106" t="s">
        <v>360</v>
      </c>
      <c r="N17" s="106" t="s">
        <v>361</v>
      </c>
      <c r="O17" s="110" t="s">
        <v>342</v>
      </c>
    </row>
    <row r="18" spans="1:15" ht="70.05" customHeight="1" x14ac:dyDescent="0.3">
      <c r="A18" s="95">
        <v>17</v>
      </c>
      <c r="B18" s="104"/>
      <c r="C18" s="105"/>
      <c r="D18" s="98" t="s">
        <v>352</v>
      </c>
      <c r="E18" s="99" t="s">
        <v>362</v>
      </c>
      <c r="F18" s="98" t="s">
        <v>363</v>
      </c>
      <c r="G18" s="100" t="s">
        <v>364</v>
      </c>
      <c r="H18" s="98" t="s">
        <v>365</v>
      </c>
      <c r="I18" s="98" t="s">
        <v>366</v>
      </c>
      <c r="J18" s="98" t="s">
        <v>367</v>
      </c>
      <c r="K18" s="98" t="s">
        <v>368</v>
      </c>
      <c r="L18" s="111" t="s">
        <v>115</v>
      </c>
      <c r="M18" s="98" t="s">
        <v>369</v>
      </c>
      <c r="N18" s="98" t="s">
        <v>370</v>
      </c>
      <c r="O18" s="102" t="s">
        <v>371</v>
      </c>
    </row>
    <row r="19" spans="1:15" ht="70.05" customHeight="1" x14ac:dyDescent="0.3">
      <c r="A19" s="103">
        <v>18</v>
      </c>
      <c r="B19" s="104"/>
      <c r="C19" s="105"/>
      <c r="D19" s="106" t="s">
        <v>352</v>
      </c>
      <c r="E19" s="107" t="s">
        <v>372</v>
      </c>
      <c r="F19" s="106" t="s">
        <v>373</v>
      </c>
      <c r="G19" s="108" t="s">
        <v>374</v>
      </c>
      <c r="H19" s="106" t="s">
        <v>375</v>
      </c>
      <c r="I19" s="106" t="s">
        <v>376</v>
      </c>
      <c r="J19" s="106" t="s">
        <v>377</v>
      </c>
      <c r="K19" s="106" t="s">
        <v>378</v>
      </c>
      <c r="L19" s="113" t="s">
        <v>115</v>
      </c>
      <c r="M19" s="106" t="s">
        <v>379</v>
      </c>
      <c r="N19" s="106" t="s">
        <v>380</v>
      </c>
      <c r="O19" s="110" t="s">
        <v>381</v>
      </c>
    </row>
    <row r="20" spans="1:15" ht="70.05" customHeight="1" x14ac:dyDescent="0.3">
      <c r="A20" s="95">
        <v>19</v>
      </c>
      <c r="B20" s="104"/>
      <c r="C20" s="105"/>
      <c r="D20" s="98" t="s">
        <v>207</v>
      </c>
      <c r="E20" s="99" t="s">
        <v>382</v>
      </c>
      <c r="F20" s="98" t="s">
        <v>383</v>
      </c>
      <c r="G20" s="100" t="s">
        <v>384</v>
      </c>
      <c r="H20" s="98" t="s">
        <v>385</v>
      </c>
      <c r="I20" s="98" t="s">
        <v>386</v>
      </c>
      <c r="J20" s="98" t="s">
        <v>387</v>
      </c>
      <c r="K20" s="98" t="s">
        <v>388</v>
      </c>
      <c r="L20" s="111" t="s">
        <v>115</v>
      </c>
      <c r="M20" s="98" t="s">
        <v>340</v>
      </c>
      <c r="N20" s="98" t="s">
        <v>273</v>
      </c>
      <c r="O20" s="102" t="s">
        <v>389</v>
      </c>
    </row>
    <row r="21" spans="1:15" ht="70.05" customHeight="1" x14ac:dyDescent="0.3">
      <c r="A21" s="103">
        <v>20</v>
      </c>
      <c r="B21" s="104"/>
      <c r="C21" s="105"/>
      <c r="D21" s="106" t="s">
        <v>352</v>
      </c>
      <c r="E21" s="107" t="s">
        <v>390</v>
      </c>
      <c r="F21" s="106" t="s">
        <v>391</v>
      </c>
      <c r="G21" s="108" t="s">
        <v>392</v>
      </c>
      <c r="H21" s="106" t="s">
        <v>393</v>
      </c>
      <c r="I21" s="106" t="s">
        <v>394</v>
      </c>
      <c r="J21" s="106" t="s">
        <v>395</v>
      </c>
      <c r="K21" s="106" t="s">
        <v>396</v>
      </c>
      <c r="L21" s="113" t="s">
        <v>115</v>
      </c>
      <c r="M21" s="106" t="s">
        <v>397</v>
      </c>
      <c r="N21" s="106" t="s">
        <v>380</v>
      </c>
      <c r="O21" s="110" t="s">
        <v>398</v>
      </c>
    </row>
    <row r="22" spans="1:15" ht="70.05" customHeight="1" x14ac:dyDescent="0.3">
      <c r="A22" s="95">
        <v>21</v>
      </c>
      <c r="B22" s="104"/>
      <c r="C22" s="105"/>
      <c r="D22" s="98" t="s">
        <v>207</v>
      </c>
      <c r="E22" s="99" t="s">
        <v>399</v>
      </c>
      <c r="F22" s="98" t="s">
        <v>400</v>
      </c>
      <c r="G22" s="100" t="s">
        <v>401</v>
      </c>
      <c r="H22" s="98" t="s">
        <v>402</v>
      </c>
      <c r="I22" s="98" t="s">
        <v>403</v>
      </c>
      <c r="J22" s="98" t="s">
        <v>404</v>
      </c>
      <c r="K22" s="98" t="s">
        <v>405</v>
      </c>
      <c r="L22" s="111" t="s">
        <v>115</v>
      </c>
      <c r="M22" s="98" t="s">
        <v>379</v>
      </c>
      <c r="N22" s="98" t="s">
        <v>406</v>
      </c>
      <c r="O22" s="102" t="s">
        <v>342</v>
      </c>
    </row>
    <row r="23" spans="1:15" ht="70.05" customHeight="1" x14ac:dyDescent="0.3">
      <c r="A23" s="103">
        <v>22</v>
      </c>
      <c r="B23" s="104"/>
      <c r="C23" s="105"/>
      <c r="D23" s="106" t="s">
        <v>352</v>
      </c>
      <c r="E23" s="107" t="s">
        <v>407</v>
      </c>
      <c r="F23" s="106" t="s">
        <v>408</v>
      </c>
      <c r="G23" s="108" t="s">
        <v>409</v>
      </c>
      <c r="H23" s="106" t="s">
        <v>410</v>
      </c>
      <c r="I23" s="106" t="s">
        <v>411</v>
      </c>
      <c r="J23" s="106" t="s">
        <v>412</v>
      </c>
      <c r="K23" s="106" t="s">
        <v>413</v>
      </c>
      <c r="L23" s="109" t="s">
        <v>136</v>
      </c>
      <c r="M23" s="106" t="s">
        <v>397</v>
      </c>
      <c r="N23" s="106" t="s">
        <v>380</v>
      </c>
      <c r="O23" s="110" t="s">
        <v>371</v>
      </c>
    </row>
    <row r="24" spans="1:15" ht="70.05" customHeight="1" x14ac:dyDescent="0.3">
      <c r="A24" s="95">
        <v>23</v>
      </c>
      <c r="B24" s="104"/>
      <c r="C24" s="105"/>
      <c r="D24" s="98" t="s">
        <v>352</v>
      </c>
      <c r="E24" s="99" t="s">
        <v>414</v>
      </c>
      <c r="F24" s="98" t="s">
        <v>415</v>
      </c>
      <c r="G24" s="100" t="s">
        <v>416</v>
      </c>
      <c r="H24" s="98" t="s">
        <v>417</v>
      </c>
      <c r="I24" s="98" t="s">
        <v>418</v>
      </c>
      <c r="J24" s="98" t="s">
        <v>419</v>
      </c>
      <c r="K24" s="98" t="s">
        <v>420</v>
      </c>
      <c r="L24" s="111" t="s">
        <v>115</v>
      </c>
      <c r="M24" s="98" t="s">
        <v>397</v>
      </c>
      <c r="N24" s="98" t="s">
        <v>380</v>
      </c>
      <c r="O24" s="102" t="s">
        <v>398</v>
      </c>
    </row>
    <row r="25" spans="1:15" ht="70.05" customHeight="1" x14ac:dyDescent="0.3">
      <c r="A25" s="103">
        <v>24</v>
      </c>
      <c r="B25" s="104"/>
      <c r="C25" s="105"/>
      <c r="D25" s="106" t="s">
        <v>352</v>
      </c>
      <c r="E25" s="107" t="s">
        <v>421</v>
      </c>
      <c r="F25" s="106" t="s">
        <v>422</v>
      </c>
      <c r="G25" s="108" t="s">
        <v>423</v>
      </c>
      <c r="H25" s="106" t="s">
        <v>424</v>
      </c>
      <c r="I25" s="106" t="s">
        <v>425</v>
      </c>
      <c r="J25" s="106" t="s">
        <v>426</v>
      </c>
      <c r="K25" s="106" t="s">
        <v>427</v>
      </c>
      <c r="L25" s="113" t="s">
        <v>115</v>
      </c>
      <c r="M25" s="106" t="s">
        <v>428</v>
      </c>
      <c r="N25" s="106" t="s">
        <v>429</v>
      </c>
      <c r="O25" s="110" t="s">
        <v>342</v>
      </c>
    </row>
    <row r="26" spans="1:15" ht="70.05" customHeight="1" x14ac:dyDescent="0.3">
      <c r="A26" s="95">
        <v>25</v>
      </c>
      <c r="B26" s="104"/>
      <c r="C26" s="97" t="s">
        <v>430</v>
      </c>
      <c r="D26" s="98" t="s">
        <v>352</v>
      </c>
      <c r="E26" s="99" t="s">
        <v>431</v>
      </c>
      <c r="F26" s="98" t="s">
        <v>432</v>
      </c>
      <c r="G26" s="100" t="s">
        <v>433</v>
      </c>
      <c r="H26" s="98" t="s">
        <v>434</v>
      </c>
      <c r="I26" s="98" t="s">
        <v>435</v>
      </c>
      <c r="J26" s="98" t="s">
        <v>436</v>
      </c>
      <c r="K26" s="98" t="s">
        <v>437</v>
      </c>
      <c r="L26" s="101" t="s">
        <v>136</v>
      </c>
      <c r="M26" s="98" t="s">
        <v>360</v>
      </c>
      <c r="N26" s="98" t="s">
        <v>438</v>
      </c>
      <c r="O26" s="102" t="s">
        <v>439</v>
      </c>
    </row>
    <row r="27" spans="1:15" ht="70.05" customHeight="1" x14ac:dyDescent="0.3">
      <c r="A27" s="103">
        <v>26</v>
      </c>
      <c r="B27" s="104"/>
      <c r="C27" s="105"/>
      <c r="D27" s="106" t="s">
        <v>352</v>
      </c>
      <c r="E27" s="107" t="s">
        <v>440</v>
      </c>
      <c r="F27" s="106" t="s">
        <v>441</v>
      </c>
      <c r="G27" s="108" t="s">
        <v>442</v>
      </c>
      <c r="H27" s="106" t="s">
        <v>443</v>
      </c>
      <c r="I27" s="106" t="s">
        <v>444</v>
      </c>
      <c r="J27" s="106" t="s">
        <v>445</v>
      </c>
      <c r="K27" s="106" t="s">
        <v>446</v>
      </c>
      <c r="L27" s="109" t="s">
        <v>136</v>
      </c>
      <c r="M27" s="106" t="s">
        <v>447</v>
      </c>
      <c r="N27" s="106" t="s">
        <v>448</v>
      </c>
      <c r="O27" s="110" t="s">
        <v>342</v>
      </c>
    </row>
    <row r="28" spans="1:15" ht="70.05" customHeight="1" x14ac:dyDescent="0.3">
      <c r="A28" s="95">
        <v>27</v>
      </c>
      <c r="B28" s="104"/>
      <c r="C28" s="105"/>
      <c r="D28" s="98" t="s">
        <v>352</v>
      </c>
      <c r="E28" s="99" t="s">
        <v>449</v>
      </c>
      <c r="F28" s="98" t="s">
        <v>450</v>
      </c>
      <c r="G28" s="100" t="s">
        <v>451</v>
      </c>
      <c r="H28" s="98" t="s">
        <v>452</v>
      </c>
      <c r="I28" s="98" t="s">
        <v>453</v>
      </c>
      <c r="J28" s="98" t="s">
        <v>280</v>
      </c>
      <c r="K28" s="98" t="s">
        <v>454</v>
      </c>
      <c r="L28" s="115" t="s">
        <v>242</v>
      </c>
      <c r="M28" s="98" t="s">
        <v>455</v>
      </c>
      <c r="N28" s="98" t="s">
        <v>456</v>
      </c>
      <c r="O28" s="102" t="s">
        <v>457</v>
      </c>
    </row>
    <row r="29" spans="1:15" ht="70.05" customHeight="1" x14ac:dyDescent="0.3">
      <c r="A29" s="103">
        <v>28</v>
      </c>
      <c r="B29" s="104"/>
      <c r="C29" s="105"/>
      <c r="D29" s="106" t="s">
        <v>352</v>
      </c>
      <c r="E29" s="107" t="s">
        <v>458</v>
      </c>
      <c r="F29" s="106" t="s">
        <v>459</v>
      </c>
      <c r="G29" s="108" t="s">
        <v>460</v>
      </c>
      <c r="H29" s="106" t="s">
        <v>461</v>
      </c>
      <c r="I29" s="106" t="s">
        <v>462</v>
      </c>
      <c r="J29" s="106" t="s">
        <v>463</v>
      </c>
      <c r="K29" s="106" t="s">
        <v>464</v>
      </c>
      <c r="L29" s="113" t="s">
        <v>115</v>
      </c>
      <c r="M29" s="106" t="s">
        <v>465</v>
      </c>
      <c r="N29" s="106" t="s">
        <v>466</v>
      </c>
      <c r="O29" s="110" t="s">
        <v>381</v>
      </c>
    </row>
    <row r="30" spans="1:15" ht="70.05" customHeight="1" x14ac:dyDescent="0.3">
      <c r="A30" s="95">
        <v>29</v>
      </c>
      <c r="B30" s="104"/>
      <c r="C30" s="105"/>
      <c r="D30" s="98" t="s">
        <v>352</v>
      </c>
      <c r="E30" s="99" t="s">
        <v>467</v>
      </c>
      <c r="F30" s="98" t="s">
        <v>468</v>
      </c>
      <c r="G30" s="100" t="s">
        <v>469</v>
      </c>
      <c r="H30" s="98" t="s">
        <v>470</v>
      </c>
      <c r="I30" s="98" t="s">
        <v>471</v>
      </c>
      <c r="J30" s="98" t="s">
        <v>472</v>
      </c>
      <c r="K30" s="98" t="s">
        <v>473</v>
      </c>
      <c r="L30" s="101" t="s">
        <v>136</v>
      </c>
      <c r="M30" s="98" t="s">
        <v>474</v>
      </c>
      <c r="N30" s="98" t="s">
        <v>475</v>
      </c>
      <c r="O30" s="102" t="s">
        <v>476</v>
      </c>
    </row>
    <row r="31" spans="1:15" ht="70.05" customHeight="1" x14ac:dyDescent="0.3">
      <c r="A31" s="103">
        <v>30</v>
      </c>
      <c r="B31" s="104"/>
      <c r="C31" s="105"/>
      <c r="D31" s="106" t="s">
        <v>352</v>
      </c>
      <c r="E31" s="107" t="s">
        <v>477</v>
      </c>
      <c r="F31" s="106" t="s">
        <v>478</v>
      </c>
      <c r="G31" s="108" t="s">
        <v>479</v>
      </c>
      <c r="H31" s="106" t="s">
        <v>480</v>
      </c>
      <c r="I31" s="106" t="s">
        <v>481</v>
      </c>
      <c r="J31" s="106" t="s">
        <v>482</v>
      </c>
      <c r="K31" s="106" t="s">
        <v>483</v>
      </c>
      <c r="L31" s="112" t="s">
        <v>242</v>
      </c>
      <c r="M31" s="106" t="s">
        <v>455</v>
      </c>
      <c r="N31" s="106" t="s">
        <v>456</v>
      </c>
      <c r="O31" s="110" t="s">
        <v>342</v>
      </c>
    </row>
    <row r="32" spans="1:15" ht="70.05" customHeight="1" x14ac:dyDescent="0.3">
      <c r="A32" s="95">
        <v>31</v>
      </c>
      <c r="B32" s="104"/>
      <c r="C32" s="105"/>
      <c r="D32" s="98" t="s">
        <v>352</v>
      </c>
      <c r="E32" s="99" t="s">
        <v>484</v>
      </c>
      <c r="F32" s="98" t="s">
        <v>485</v>
      </c>
      <c r="G32" s="100" t="s">
        <v>486</v>
      </c>
      <c r="H32" s="98" t="s">
        <v>487</v>
      </c>
      <c r="I32" s="98" t="s">
        <v>488</v>
      </c>
      <c r="J32" s="98" t="s">
        <v>489</v>
      </c>
      <c r="K32" s="98" t="s">
        <v>490</v>
      </c>
      <c r="L32" s="101" t="s">
        <v>136</v>
      </c>
      <c r="M32" s="98" t="s">
        <v>243</v>
      </c>
      <c r="N32" s="98" t="s">
        <v>491</v>
      </c>
      <c r="O32" s="102" t="s">
        <v>492</v>
      </c>
    </row>
    <row r="33" spans="1:15" ht="70.05" customHeight="1" x14ac:dyDescent="0.3">
      <c r="A33" s="103">
        <v>32</v>
      </c>
      <c r="B33" s="104"/>
      <c r="C33" s="105"/>
      <c r="D33" s="106" t="s">
        <v>352</v>
      </c>
      <c r="E33" s="107" t="s">
        <v>493</v>
      </c>
      <c r="F33" s="106" t="s">
        <v>494</v>
      </c>
      <c r="G33" s="108" t="s">
        <v>495</v>
      </c>
      <c r="H33" s="106" t="s">
        <v>496</v>
      </c>
      <c r="I33" s="106" t="s">
        <v>497</v>
      </c>
      <c r="J33" s="106" t="s">
        <v>498</v>
      </c>
      <c r="K33" s="106" t="s">
        <v>499</v>
      </c>
      <c r="L33" s="109" t="s">
        <v>136</v>
      </c>
      <c r="M33" s="106" t="s">
        <v>397</v>
      </c>
      <c r="N33" s="106" t="s">
        <v>500</v>
      </c>
      <c r="O33" s="110" t="s">
        <v>381</v>
      </c>
    </row>
    <row r="34" spans="1:15" ht="70.05" customHeight="1" x14ac:dyDescent="0.3">
      <c r="A34" s="95">
        <v>33</v>
      </c>
      <c r="B34" s="104"/>
      <c r="C34" s="97" t="s">
        <v>501</v>
      </c>
      <c r="D34" s="98" t="s">
        <v>502</v>
      </c>
      <c r="E34" s="99" t="s">
        <v>503</v>
      </c>
      <c r="F34" s="98" t="s">
        <v>504</v>
      </c>
      <c r="G34" s="100" t="s">
        <v>505</v>
      </c>
      <c r="H34" s="98" t="s">
        <v>506</v>
      </c>
      <c r="I34" s="98" t="s">
        <v>507</v>
      </c>
      <c r="J34" s="98" t="s">
        <v>508</v>
      </c>
      <c r="K34" s="98" t="s">
        <v>509</v>
      </c>
      <c r="L34" s="111" t="s">
        <v>115</v>
      </c>
      <c r="M34" s="98" t="s">
        <v>510</v>
      </c>
      <c r="N34" s="98" t="s">
        <v>511</v>
      </c>
      <c r="O34" s="102" t="s">
        <v>512</v>
      </c>
    </row>
    <row r="35" spans="1:15" ht="70.05" customHeight="1" x14ac:dyDescent="0.3">
      <c r="A35" s="103">
        <v>34</v>
      </c>
      <c r="B35" s="104"/>
      <c r="C35" s="105"/>
      <c r="D35" s="106" t="s">
        <v>502</v>
      </c>
      <c r="E35" s="107" t="s">
        <v>513</v>
      </c>
      <c r="F35" s="106" t="s">
        <v>514</v>
      </c>
      <c r="G35" s="108" t="s">
        <v>515</v>
      </c>
      <c r="H35" s="106" t="s">
        <v>516</v>
      </c>
      <c r="I35" s="106" t="s">
        <v>517</v>
      </c>
      <c r="J35" s="106" t="s">
        <v>518</v>
      </c>
      <c r="K35" s="106" t="s">
        <v>519</v>
      </c>
      <c r="L35" s="113" t="s">
        <v>115</v>
      </c>
      <c r="M35" s="106" t="s">
        <v>520</v>
      </c>
      <c r="N35" s="106" t="s">
        <v>521</v>
      </c>
      <c r="O35" s="110" t="s">
        <v>522</v>
      </c>
    </row>
    <row r="36" spans="1:15" ht="70.05" customHeight="1" x14ac:dyDescent="0.3">
      <c r="A36" s="95">
        <v>35</v>
      </c>
      <c r="B36" s="104"/>
      <c r="C36" s="105"/>
      <c r="D36" s="98" t="s">
        <v>502</v>
      </c>
      <c r="E36" s="99" t="s">
        <v>523</v>
      </c>
      <c r="F36" s="98" t="s">
        <v>524</v>
      </c>
      <c r="G36" s="100" t="s">
        <v>525</v>
      </c>
      <c r="H36" s="98" t="s">
        <v>526</v>
      </c>
      <c r="I36" s="98" t="s">
        <v>527</v>
      </c>
      <c r="J36" s="98" t="s">
        <v>528</v>
      </c>
      <c r="K36" s="98" t="s">
        <v>529</v>
      </c>
      <c r="L36" s="111" t="s">
        <v>115</v>
      </c>
      <c r="M36" s="98" t="s">
        <v>530</v>
      </c>
      <c r="N36" s="98" t="s">
        <v>531</v>
      </c>
      <c r="O36" s="102" t="s">
        <v>532</v>
      </c>
    </row>
    <row r="37" spans="1:15" ht="70.05" customHeight="1" x14ac:dyDescent="0.3">
      <c r="A37" s="103">
        <v>36</v>
      </c>
      <c r="B37" s="104"/>
      <c r="C37" s="105"/>
      <c r="D37" s="106" t="s">
        <v>502</v>
      </c>
      <c r="E37" s="107" t="s">
        <v>533</v>
      </c>
      <c r="F37" s="106" t="s">
        <v>534</v>
      </c>
      <c r="G37" s="108" t="s">
        <v>535</v>
      </c>
      <c r="H37" s="106" t="s">
        <v>536</v>
      </c>
      <c r="I37" s="106" t="s">
        <v>537</v>
      </c>
      <c r="J37" s="106" t="s">
        <v>538</v>
      </c>
      <c r="K37" s="106" t="s">
        <v>539</v>
      </c>
      <c r="L37" s="113" t="s">
        <v>115</v>
      </c>
      <c r="M37" s="106" t="s">
        <v>540</v>
      </c>
      <c r="N37" s="106" t="s">
        <v>541</v>
      </c>
      <c r="O37" s="110" t="s">
        <v>542</v>
      </c>
    </row>
    <row r="38" spans="1:15" ht="70.05" customHeight="1" x14ac:dyDescent="0.3">
      <c r="A38" s="95">
        <v>37</v>
      </c>
      <c r="B38" s="104"/>
      <c r="C38" s="105"/>
      <c r="D38" s="98" t="s">
        <v>502</v>
      </c>
      <c r="E38" s="99" t="s">
        <v>543</v>
      </c>
      <c r="F38" s="98" t="s">
        <v>544</v>
      </c>
      <c r="G38" s="100" t="s">
        <v>545</v>
      </c>
      <c r="H38" s="98" t="s">
        <v>546</v>
      </c>
      <c r="I38" s="98" t="s">
        <v>547</v>
      </c>
      <c r="J38" s="98" t="s">
        <v>548</v>
      </c>
      <c r="K38" s="98" t="s">
        <v>549</v>
      </c>
      <c r="L38" s="101" t="s">
        <v>136</v>
      </c>
      <c r="M38" s="98" t="s">
        <v>550</v>
      </c>
      <c r="N38" s="98" t="s">
        <v>551</v>
      </c>
      <c r="O38" s="102" t="s">
        <v>342</v>
      </c>
    </row>
    <row r="39" spans="1:15" ht="70.05" customHeight="1" x14ac:dyDescent="0.3">
      <c r="A39" s="103">
        <v>38</v>
      </c>
      <c r="B39" s="104"/>
      <c r="C39" s="105"/>
      <c r="D39" s="106" t="s">
        <v>502</v>
      </c>
      <c r="E39" s="107" t="s">
        <v>552</v>
      </c>
      <c r="F39" s="106" t="s">
        <v>553</v>
      </c>
      <c r="G39" s="108" t="s">
        <v>554</v>
      </c>
      <c r="H39" s="106" t="s">
        <v>555</v>
      </c>
      <c r="I39" s="106" t="s">
        <v>556</v>
      </c>
      <c r="J39" s="106" t="s">
        <v>557</v>
      </c>
      <c r="K39" s="106" t="s">
        <v>558</v>
      </c>
      <c r="L39" s="113" t="s">
        <v>115</v>
      </c>
      <c r="M39" s="106" t="s">
        <v>559</v>
      </c>
      <c r="N39" s="106" t="s">
        <v>560</v>
      </c>
      <c r="O39" s="110" t="s">
        <v>522</v>
      </c>
    </row>
    <row r="40" spans="1:15" ht="70.05" customHeight="1" x14ac:dyDescent="0.3">
      <c r="A40" s="95">
        <v>39</v>
      </c>
      <c r="B40" s="104"/>
      <c r="C40" s="105"/>
      <c r="D40" s="98" t="s">
        <v>502</v>
      </c>
      <c r="E40" s="99" t="s">
        <v>561</v>
      </c>
      <c r="F40" s="98" t="s">
        <v>562</v>
      </c>
      <c r="G40" s="100" t="s">
        <v>563</v>
      </c>
      <c r="H40" s="98" t="s">
        <v>564</v>
      </c>
      <c r="I40" s="98" t="s">
        <v>565</v>
      </c>
      <c r="J40" s="98" t="s">
        <v>566</v>
      </c>
      <c r="K40" s="98" t="s">
        <v>567</v>
      </c>
      <c r="L40" s="101" t="s">
        <v>136</v>
      </c>
      <c r="M40" s="98" t="s">
        <v>559</v>
      </c>
      <c r="N40" s="98" t="s">
        <v>568</v>
      </c>
      <c r="O40" s="102" t="s">
        <v>569</v>
      </c>
    </row>
    <row r="41" spans="1:15" ht="70.05" customHeight="1" x14ac:dyDescent="0.3">
      <c r="A41" s="103">
        <v>40</v>
      </c>
      <c r="B41" s="104"/>
      <c r="C41" s="105"/>
      <c r="D41" s="106" t="s">
        <v>502</v>
      </c>
      <c r="E41" s="107" t="s">
        <v>570</v>
      </c>
      <c r="F41" s="106" t="s">
        <v>571</v>
      </c>
      <c r="G41" s="108" t="s">
        <v>572</v>
      </c>
      <c r="H41" s="106" t="s">
        <v>573</v>
      </c>
      <c r="I41" s="106" t="s">
        <v>574</v>
      </c>
      <c r="J41" s="106" t="s">
        <v>575</v>
      </c>
      <c r="K41" s="106" t="s">
        <v>576</v>
      </c>
      <c r="L41" s="113" t="s">
        <v>115</v>
      </c>
      <c r="M41" s="106" t="s">
        <v>559</v>
      </c>
      <c r="N41" s="106" t="s">
        <v>560</v>
      </c>
      <c r="O41" s="110" t="s">
        <v>522</v>
      </c>
    </row>
    <row r="42" spans="1:15" ht="70.05" customHeight="1" x14ac:dyDescent="0.3">
      <c r="A42" s="95">
        <v>41</v>
      </c>
      <c r="B42" s="104"/>
      <c r="C42" s="105"/>
      <c r="D42" s="98" t="s">
        <v>502</v>
      </c>
      <c r="E42" s="99" t="s">
        <v>577</v>
      </c>
      <c r="F42" s="98" t="s">
        <v>578</v>
      </c>
      <c r="G42" s="100" t="s">
        <v>579</v>
      </c>
      <c r="H42" s="98" t="s">
        <v>580</v>
      </c>
      <c r="I42" s="98" t="s">
        <v>581</v>
      </c>
      <c r="J42" s="98" t="s">
        <v>582</v>
      </c>
      <c r="K42" s="98" t="s">
        <v>583</v>
      </c>
      <c r="L42" s="111" t="s">
        <v>115</v>
      </c>
      <c r="M42" s="98" t="s">
        <v>584</v>
      </c>
      <c r="N42" s="98" t="s">
        <v>585</v>
      </c>
      <c r="O42" s="102" t="s">
        <v>586</v>
      </c>
    </row>
    <row r="43" spans="1:15" ht="70.05" customHeight="1" x14ac:dyDescent="0.3">
      <c r="A43" s="103">
        <v>42</v>
      </c>
      <c r="B43" s="104"/>
      <c r="C43" s="105"/>
      <c r="D43" s="106" t="s">
        <v>502</v>
      </c>
      <c r="E43" s="107" t="s">
        <v>587</v>
      </c>
      <c r="F43" s="106" t="s">
        <v>588</v>
      </c>
      <c r="G43" s="108" t="s">
        <v>589</v>
      </c>
      <c r="H43" s="106" t="s">
        <v>590</v>
      </c>
      <c r="I43" s="106" t="s">
        <v>591</v>
      </c>
      <c r="J43" s="106" t="s">
        <v>592</v>
      </c>
      <c r="K43" s="106" t="s">
        <v>593</v>
      </c>
      <c r="L43" s="113" t="s">
        <v>115</v>
      </c>
      <c r="M43" s="106" t="s">
        <v>559</v>
      </c>
      <c r="N43" s="106" t="s">
        <v>531</v>
      </c>
      <c r="O43" s="110" t="s">
        <v>586</v>
      </c>
    </row>
    <row r="44" spans="1:15" ht="70.05" customHeight="1" x14ac:dyDescent="0.3">
      <c r="A44" s="95">
        <v>43</v>
      </c>
      <c r="B44" s="104"/>
      <c r="C44" s="105"/>
      <c r="D44" s="98" t="s">
        <v>502</v>
      </c>
      <c r="E44" s="99" t="s">
        <v>594</v>
      </c>
      <c r="F44" s="98" t="s">
        <v>595</v>
      </c>
      <c r="G44" s="100" t="s">
        <v>596</v>
      </c>
      <c r="H44" s="98" t="s">
        <v>597</v>
      </c>
      <c r="I44" s="98" t="s">
        <v>598</v>
      </c>
      <c r="J44" s="98" t="s">
        <v>599</v>
      </c>
      <c r="K44" s="98" t="s">
        <v>600</v>
      </c>
      <c r="L44" s="111" t="s">
        <v>115</v>
      </c>
      <c r="M44" s="98" t="s">
        <v>584</v>
      </c>
      <c r="N44" s="98" t="s">
        <v>601</v>
      </c>
      <c r="O44" s="102" t="s">
        <v>586</v>
      </c>
    </row>
    <row r="45" spans="1:15" ht="70.05" customHeight="1" x14ac:dyDescent="0.3">
      <c r="A45" s="103">
        <v>44</v>
      </c>
      <c r="B45" s="104"/>
      <c r="C45" s="105"/>
      <c r="D45" s="106" t="s">
        <v>502</v>
      </c>
      <c r="E45" s="107" t="s">
        <v>602</v>
      </c>
      <c r="F45" s="106" t="s">
        <v>603</v>
      </c>
      <c r="G45" s="108" t="s">
        <v>604</v>
      </c>
      <c r="H45" s="106" t="s">
        <v>605</v>
      </c>
      <c r="I45" s="106" t="s">
        <v>606</v>
      </c>
      <c r="J45" s="106" t="s">
        <v>607</v>
      </c>
      <c r="K45" s="106" t="s">
        <v>608</v>
      </c>
      <c r="L45" s="113" t="s">
        <v>115</v>
      </c>
      <c r="M45" s="106" t="s">
        <v>609</v>
      </c>
      <c r="N45" s="106" t="s">
        <v>610</v>
      </c>
      <c r="O45" s="110" t="s">
        <v>342</v>
      </c>
    </row>
    <row r="46" spans="1:15" ht="70.05" customHeight="1" x14ac:dyDescent="0.3">
      <c r="A46" s="95">
        <v>45</v>
      </c>
      <c r="B46" s="104"/>
      <c r="C46" s="105"/>
      <c r="D46" s="98" t="s">
        <v>502</v>
      </c>
      <c r="E46" s="99" t="s">
        <v>611</v>
      </c>
      <c r="F46" s="98" t="s">
        <v>612</v>
      </c>
      <c r="G46" s="100" t="s">
        <v>613</v>
      </c>
      <c r="H46" s="98" t="s">
        <v>614</v>
      </c>
      <c r="I46" s="98" t="s">
        <v>615</v>
      </c>
      <c r="J46" s="98" t="s">
        <v>616</v>
      </c>
      <c r="K46" s="98" t="s">
        <v>617</v>
      </c>
      <c r="L46" s="111" t="s">
        <v>115</v>
      </c>
      <c r="M46" s="98" t="s">
        <v>520</v>
      </c>
      <c r="N46" s="98" t="s">
        <v>618</v>
      </c>
      <c r="O46" s="102" t="s">
        <v>619</v>
      </c>
    </row>
    <row r="47" spans="1:15" ht="70.05" customHeight="1" x14ac:dyDescent="0.3">
      <c r="A47" s="103">
        <v>46</v>
      </c>
      <c r="B47" s="104"/>
      <c r="C47" s="105"/>
      <c r="D47" s="106" t="s">
        <v>502</v>
      </c>
      <c r="E47" s="107" t="s">
        <v>620</v>
      </c>
      <c r="F47" s="106" t="s">
        <v>621</v>
      </c>
      <c r="G47" s="108" t="s">
        <v>622</v>
      </c>
      <c r="H47" s="106" t="s">
        <v>623</v>
      </c>
      <c r="I47" s="106" t="s">
        <v>624</v>
      </c>
      <c r="J47" s="106" t="s">
        <v>625</v>
      </c>
      <c r="K47" s="106" t="s">
        <v>626</v>
      </c>
      <c r="L47" s="113" t="s">
        <v>115</v>
      </c>
      <c r="M47" s="106" t="s">
        <v>428</v>
      </c>
      <c r="N47" s="106" t="s">
        <v>627</v>
      </c>
      <c r="O47" s="110" t="s">
        <v>342</v>
      </c>
    </row>
    <row r="48" spans="1:15" ht="70.05" customHeight="1" x14ac:dyDescent="0.3">
      <c r="A48" s="95">
        <v>47</v>
      </c>
      <c r="B48" s="104"/>
      <c r="C48" s="105"/>
      <c r="D48" s="98" t="s">
        <v>502</v>
      </c>
      <c r="E48" s="99" t="s">
        <v>628</v>
      </c>
      <c r="F48" s="98" t="s">
        <v>629</v>
      </c>
      <c r="G48" s="100" t="s">
        <v>630</v>
      </c>
      <c r="H48" s="98" t="s">
        <v>631</v>
      </c>
      <c r="I48" s="98" t="s">
        <v>632</v>
      </c>
      <c r="J48" s="98" t="s">
        <v>633</v>
      </c>
      <c r="K48" s="98" t="s">
        <v>634</v>
      </c>
      <c r="L48" s="101" t="s">
        <v>136</v>
      </c>
      <c r="M48" s="98" t="s">
        <v>635</v>
      </c>
      <c r="N48" s="98" t="s">
        <v>636</v>
      </c>
      <c r="O48" s="102" t="s">
        <v>522</v>
      </c>
    </row>
    <row r="49" spans="1:15" ht="70.05" customHeight="1" x14ac:dyDescent="0.3">
      <c r="A49" s="103">
        <v>48</v>
      </c>
      <c r="B49" s="104"/>
      <c r="C49" s="105"/>
      <c r="D49" s="106" t="s">
        <v>502</v>
      </c>
      <c r="E49" s="107" t="s">
        <v>637</v>
      </c>
      <c r="F49" s="106" t="s">
        <v>638</v>
      </c>
      <c r="G49" s="108" t="s">
        <v>639</v>
      </c>
      <c r="H49" s="106" t="s">
        <v>640</v>
      </c>
      <c r="I49" s="106" t="s">
        <v>641</v>
      </c>
      <c r="J49" s="106" t="s">
        <v>642</v>
      </c>
      <c r="K49" s="106" t="s">
        <v>643</v>
      </c>
      <c r="L49" s="113" t="s">
        <v>115</v>
      </c>
      <c r="M49" s="106" t="s">
        <v>584</v>
      </c>
      <c r="N49" s="106" t="s">
        <v>644</v>
      </c>
      <c r="O49" s="110" t="s">
        <v>522</v>
      </c>
    </row>
    <row r="50" spans="1:15" ht="70.05" customHeight="1" x14ac:dyDescent="0.3">
      <c r="A50" s="95">
        <v>49</v>
      </c>
      <c r="B50" s="104"/>
      <c r="C50" s="105"/>
      <c r="D50" s="98" t="s">
        <v>502</v>
      </c>
      <c r="E50" s="99" t="s">
        <v>645</v>
      </c>
      <c r="F50" s="98" t="s">
        <v>646</v>
      </c>
      <c r="G50" s="100" t="s">
        <v>647</v>
      </c>
      <c r="H50" s="98" t="s">
        <v>648</v>
      </c>
      <c r="I50" s="98" t="s">
        <v>649</v>
      </c>
      <c r="J50" s="98" t="s">
        <v>650</v>
      </c>
      <c r="K50" s="98" t="s">
        <v>651</v>
      </c>
      <c r="L50" s="111" t="s">
        <v>115</v>
      </c>
      <c r="M50" s="98" t="s">
        <v>584</v>
      </c>
      <c r="N50" s="98" t="s">
        <v>644</v>
      </c>
      <c r="O50" s="102" t="s">
        <v>586</v>
      </c>
    </row>
    <row r="51" spans="1:15" ht="70.05" customHeight="1" x14ac:dyDescent="0.3">
      <c r="A51" s="103">
        <v>50</v>
      </c>
      <c r="B51" s="104"/>
      <c r="C51" s="105"/>
      <c r="D51" s="106" t="s">
        <v>502</v>
      </c>
      <c r="E51" s="107" t="s">
        <v>652</v>
      </c>
      <c r="F51" s="106" t="s">
        <v>653</v>
      </c>
      <c r="G51" s="108" t="s">
        <v>654</v>
      </c>
      <c r="H51" s="106" t="s">
        <v>655</v>
      </c>
      <c r="I51" s="106" t="s">
        <v>656</v>
      </c>
      <c r="J51" s="106" t="s">
        <v>657</v>
      </c>
      <c r="K51" s="106" t="s">
        <v>658</v>
      </c>
      <c r="L51" s="113" t="s">
        <v>115</v>
      </c>
      <c r="M51" s="106" t="s">
        <v>520</v>
      </c>
      <c r="N51" s="106" t="s">
        <v>659</v>
      </c>
      <c r="O51" s="110" t="s">
        <v>522</v>
      </c>
    </row>
    <row r="52" spans="1:15" ht="70.05" customHeight="1" x14ac:dyDescent="0.3">
      <c r="A52" s="95">
        <v>51</v>
      </c>
      <c r="B52" s="104"/>
      <c r="C52" s="105"/>
      <c r="D52" s="98" t="s">
        <v>502</v>
      </c>
      <c r="E52" s="99" t="s">
        <v>660</v>
      </c>
      <c r="F52" s="98" t="s">
        <v>661</v>
      </c>
      <c r="G52" s="100" t="s">
        <v>662</v>
      </c>
      <c r="H52" s="98" t="s">
        <v>663</v>
      </c>
      <c r="I52" s="98" t="s">
        <v>664</v>
      </c>
      <c r="J52" s="98" t="s">
        <v>665</v>
      </c>
      <c r="K52" s="98" t="s">
        <v>666</v>
      </c>
      <c r="L52" s="111" t="s">
        <v>115</v>
      </c>
      <c r="M52" s="98" t="s">
        <v>584</v>
      </c>
      <c r="N52" s="98" t="s">
        <v>531</v>
      </c>
      <c r="O52" s="102" t="s">
        <v>522</v>
      </c>
    </row>
    <row r="53" spans="1:15" ht="70.05" customHeight="1" x14ac:dyDescent="0.3">
      <c r="A53" s="103">
        <v>52</v>
      </c>
      <c r="B53" s="104"/>
      <c r="C53" s="105"/>
      <c r="D53" s="106" t="s">
        <v>502</v>
      </c>
      <c r="E53" s="107" t="s">
        <v>667</v>
      </c>
      <c r="F53" s="106" t="s">
        <v>668</v>
      </c>
      <c r="G53" s="108" t="s">
        <v>669</v>
      </c>
      <c r="H53" s="106" t="s">
        <v>670</v>
      </c>
      <c r="I53" s="106" t="s">
        <v>671</v>
      </c>
      <c r="J53" s="106" t="s">
        <v>672</v>
      </c>
      <c r="K53" s="106" t="s">
        <v>673</v>
      </c>
      <c r="L53" s="113" t="s">
        <v>115</v>
      </c>
      <c r="M53" s="106" t="s">
        <v>674</v>
      </c>
      <c r="N53" s="106" t="s">
        <v>675</v>
      </c>
      <c r="O53" s="110" t="s">
        <v>676</v>
      </c>
    </row>
    <row r="54" spans="1:15" ht="70.05" customHeight="1" x14ac:dyDescent="0.3">
      <c r="A54" s="95">
        <v>53</v>
      </c>
      <c r="B54" s="104"/>
      <c r="C54" s="97" t="s">
        <v>677</v>
      </c>
      <c r="D54" s="98" t="s">
        <v>502</v>
      </c>
      <c r="E54" s="99" t="s">
        <v>678</v>
      </c>
      <c r="F54" s="98" t="s">
        <v>679</v>
      </c>
      <c r="G54" s="100" t="s">
        <v>680</v>
      </c>
      <c r="H54" s="98" t="s">
        <v>681</v>
      </c>
      <c r="I54" s="98" t="s">
        <v>682</v>
      </c>
      <c r="J54" s="98" t="s">
        <v>683</v>
      </c>
      <c r="K54" s="98" t="s">
        <v>684</v>
      </c>
      <c r="L54" s="111" t="s">
        <v>115</v>
      </c>
      <c r="M54" s="98" t="s">
        <v>685</v>
      </c>
      <c r="N54" s="98" t="s">
        <v>686</v>
      </c>
      <c r="O54" s="102" t="s">
        <v>532</v>
      </c>
    </row>
    <row r="55" spans="1:15" ht="70.05" customHeight="1" x14ac:dyDescent="0.3">
      <c r="A55" s="103">
        <v>54</v>
      </c>
      <c r="B55" s="104"/>
      <c r="C55" s="105"/>
      <c r="D55" s="106" t="s">
        <v>502</v>
      </c>
      <c r="E55" s="107" t="s">
        <v>687</v>
      </c>
      <c r="F55" s="106" t="s">
        <v>688</v>
      </c>
      <c r="G55" s="108" t="s">
        <v>689</v>
      </c>
      <c r="H55" s="106" t="s">
        <v>690</v>
      </c>
      <c r="I55" s="106" t="s">
        <v>691</v>
      </c>
      <c r="J55" s="106" t="s">
        <v>692</v>
      </c>
      <c r="K55" s="106" t="s">
        <v>693</v>
      </c>
      <c r="L55" s="113" t="s">
        <v>115</v>
      </c>
      <c r="M55" s="106" t="s">
        <v>694</v>
      </c>
      <c r="N55" s="106" t="s">
        <v>695</v>
      </c>
      <c r="O55" s="110" t="s">
        <v>371</v>
      </c>
    </row>
    <row r="56" spans="1:15" ht="70.05" customHeight="1" x14ac:dyDescent="0.3">
      <c r="A56" s="95">
        <v>55</v>
      </c>
      <c r="B56" s="116" t="s">
        <v>696</v>
      </c>
      <c r="C56" s="97" t="s">
        <v>697</v>
      </c>
      <c r="D56" s="98" t="s">
        <v>698</v>
      </c>
      <c r="E56" s="99" t="s">
        <v>699</v>
      </c>
      <c r="F56" s="98" t="s">
        <v>700</v>
      </c>
      <c r="G56" s="100" t="s">
        <v>701</v>
      </c>
      <c r="H56" s="98" t="s">
        <v>702</v>
      </c>
      <c r="I56" s="98" t="s">
        <v>703</v>
      </c>
      <c r="J56" s="98" t="s">
        <v>704</v>
      </c>
      <c r="K56" s="98" t="s">
        <v>705</v>
      </c>
      <c r="L56" s="101" t="s">
        <v>136</v>
      </c>
      <c r="M56" s="98" t="s">
        <v>706</v>
      </c>
      <c r="N56" s="98" t="s">
        <v>707</v>
      </c>
      <c r="O56" s="102" t="s">
        <v>708</v>
      </c>
    </row>
    <row r="57" spans="1:15" ht="70.05" customHeight="1" x14ac:dyDescent="0.3">
      <c r="A57" s="103">
        <v>56</v>
      </c>
      <c r="B57" s="104"/>
      <c r="C57" s="105"/>
      <c r="D57" s="106" t="s">
        <v>698</v>
      </c>
      <c r="E57" s="107" t="s">
        <v>709</v>
      </c>
      <c r="F57" s="106" t="s">
        <v>710</v>
      </c>
      <c r="G57" s="108" t="s">
        <v>711</v>
      </c>
      <c r="H57" s="106" t="s">
        <v>712</v>
      </c>
      <c r="I57" s="106" t="s">
        <v>713</v>
      </c>
      <c r="J57" s="106" t="s">
        <v>714</v>
      </c>
      <c r="K57" s="106" t="s">
        <v>715</v>
      </c>
      <c r="L57" s="109" t="s">
        <v>136</v>
      </c>
      <c r="M57" s="106" t="s">
        <v>706</v>
      </c>
      <c r="N57" s="106" t="s">
        <v>716</v>
      </c>
      <c r="O57" s="110" t="s">
        <v>708</v>
      </c>
    </row>
    <row r="58" spans="1:15" ht="70.05" customHeight="1" x14ac:dyDescent="0.3">
      <c r="A58" s="95">
        <v>57</v>
      </c>
      <c r="B58" s="104"/>
      <c r="C58" s="105"/>
      <c r="D58" s="98" t="s">
        <v>698</v>
      </c>
      <c r="E58" s="99" t="s">
        <v>717</v>
      </c>
      <c r="F58" s="98" t="s">
        <v>718</v>
      </c>
      <c r="G58" s="100" t="s">
        <v>719</v>
      </c>
      <c r="H58" s="98" t="s">
        <v>720</v>
      </c>
      <c r="I58" s="98" t="s">
        <v>721</v>
      </c>
      <c r="J58" s="98" t="s">
        <v>722</v>
      </c>
      <c r="K58" s="98" t="s">
        <v>723</v>
      </c>
      <c r="L58" s="101" t="s">
        <v>136</v>
      </c>
      <c r="M58" s="98" t="s">
        <v>706</v>
      </c>
      <c r="N58" s="98" t="s">
        <v>724</v>
      </c>
      <c r="O58" s="102" t="s">
        <v>725</v>
      </c>
    </row>
    <row r="59" spans="1:15" ht="70.05" customHeight="1" x14ac:dyDescent="0.3">
      <c r="A59" s="103">
        <v>58</v>
      </c>
      <c r="B59" s="104"/>
      <c r="C59" s="105"/>
      <c r="D59" s="106" t="s">
        <v>698</v>
      </c>
      <c r="E59" s="107" t="s">
        <v>726</v>
      </c>
      <c r="F59" s="106" t="s">
        <v>727</v>
      </c>
      <c r="G59" s="108" t="s">
        <v>728</v>
      </c>
      <c r="H59" s="106" t="s">
        <v>729</v>
      </c>
      <c r="I59" s="106" t="s">
        <v>730</v>
      </c>
      <c r="J59" s="106" t="s">
        <v>731</v>
      </c>
      <c r="K59" s="106" t="s">
        <v>732</v>
      </c>
      <c r="L59" s="109" t="s">
        <v>136</v>
      </c>
      <c r="M59" s="106" t="s">
        <v>733</v>
      </c>
      <c r="N59" s="106" t="s">
        <v>734</v>
      </c>
      <c r="O59" s="110" t="s">
        <v>735</v>
      </c>
    </row>
    <row r="60" spans="1:15" ht="70.05" customHeight="1" x14ac:dyDescent="0.3">
      <c r="A60" s="95">
        <v>59</v>
      </c>
      <c r="B60" s="104"/>
      <c r="C60" s="105"/>
      <c r="D60" s="98" t="s">
        <v>698</v>
      </c>
      <c r="E60" s="99" t="s">
        <v>736</v>
      </c>
      <c r="F60" s="98" t="s">
        <v>737</v>
      </c>
      <c r="G60" s="100" t="s">
        <v>738</v>
      </c>
      <c r="H60" s="98" t="s">
        <v>739</v>
      </c>
      <c r="I60" s="98" t="s">
        <v>740</v>
      </c>
      <c r="J60" s="98" t="s">
        <v>280</v>
      </c>
      <c r="K60" s="98" t="s">
        <v>741</v>
      </c>
      <c r="L60" s="115" t="s">
        <v>242</v>
      </c>
      <c r="M60" s="98" t="s">
        <v>243</v>
      </c>
      <c r="N60" s="98" t="s">
        <v>742</v>
      </c>
      <c r="O60" s="102" t="s">
        <v>743</v>
      </c>
    </row>
    <row r="61" spans="1:15" ht="70.05" customHeight="1" x14ac:dyDescent="0.3">
      <c r="A61" s="103">
        <v>60</v>
      </c>
      <c r="B61" s="104"/>
      <c r="C61" s="105"/>
      <c r="D61" s="106" t="s">
        <v>698</v>
      </c>
      <c r="E61" s="107" t="s">
        <v>744</v>
      </c>
      <c r="F61" s="106" t="s">
        <v>745</v>
      </c>
      <c r="G61" s="108" t="s">
        <v>746</v>
      </c>
      <c r="H61" s="106" t="s">
        <v>747</v>
      </c>
      <c r="I61" s="106" t="s">
        <v>748</v>
      </c>
      <c r="J61" s="106" t="s">
        <v>749</v>
      </c>
      <c r="K61" s="106" t="s">
        <v>750</v>
      </c>
      <c r="L61" s="113" t="s">
        <v>115</v>
      </c>
      <c r="M61" s="106" t="s">
        <v>751</v>
      </c>
      <c r="N61" s="106" t="s">
        <v>752</v>
      </c>
      <c r="O61" s="110" t="s">
        <v>753</v>
      </c>
    </row>
    <row r="62" spans="1:15" ht="70.05" customHeight="1" x14ac:dyDescent="0.3">
      <c r="A62" s="95">
        <v>61</v>
      </c>
      <c r="B62" s="104"/>
      <c r="C62" s="105"/>
      <c r="D62" s="98" t="s">
        <v>698</v>
      </c>
      <c r="E62" s="99" t="s">
        <v>754</v>
      </c>
      <c r="F62" s="98" t="s">
        <v>755</v>
      </c>
      <c r="G62" s="100" t="s">
        <v>756</v>
      </c>
      <c r="H62" s="98" t="s">
        <v>757</v>
      </c>
      <c r="I62" s="98" t="s">
        <v>758</v>
      </c>
      <c r="J62" s="98" t="s">
        <v>759</v>
      </c>
      <c r="K62" s="98" t="s">
        <v>760</v>
      </c>
      <c r="L62" s="101" t="s">
        <v>136</v>
      </c>
      <c r="M62" s="98" t="s">
        <v>761</v>
      </c>
      <c r="N62" s="98" t="s">
        <v>762</v>
      </c>
      <c r="O62" s="102" t="s">
        <v>708</v>
      </c>
    </row>
    <row r="63" spans="1:15" ht="70.05" customHeight="1" x14ac:dyDescent="0.3">
      <c r="A63" s="103">
        <v>62</v>
      </c>
      <c r="B63" s="104"/>
      <c r="C63" s="105"/>
      <c r="D63" s="106" t="s">
        <v>698</v>
      </c>
      <c r="E63" s="107" t="s">
        <v>763</v>
      </c>
      <c r="F63" s="106" t="s">
        <v>764</v>
      </c>
      <c r="G63" s="108" t="s">
        <v>765</v>
      </c>
      <c r="H63" s="106" t="s">
        <v>766</v>
      </c>
      <c r="I63" s="106" t="s">
        <v>767</v>
      </c>
      <c r="J63" s="106" t="s">
        <v>768</v>
      </c>
      <c r="K63" s="106" t="s">
        <v>769</v>
      </c>
      <c r="L63" s="113" t="s">
        <v>115</v>
      </c>
      <c r="M63" s="106" t="s">
        <v>770</v>
      </c>
      <c r="N63" s="106" t="s">
        <v>771</v>
      </c>
      <c r="O63" s="110" t="s">
        <v>735</v>
      </c>
    </row>
    <row r="64" spans="1:15" ht="70.05" customHeight="1" x14ac:dyDescent="0.3">
      <c r="A64" s="95">
        <v>63</v>
      </c>
      <c r="B64" s="104"/>
      <c r="C64" s="105"/>
      <c r="D64" s="98" t="s">
        <v>698</v>
      </c>
      <c r="E64" s="99" t="s">
        <v>772</v>
      </c>
      <c r="F64" s="98" t="s">
        <v>773</v>
      </c>
      <c r="G64" s="100" t="s">
        <v>774</v>
      </c>
      <c r="H64" s="98" t="s">
        <v>775</v>
      </c>
      <c r="I64" s="98" t="s">
        <v>776</v>
      </c>
      <c r="J64" s="98" t="s">
        <v>777</v>
      </c>
      <c r="K64" s="98" t="s">
        <v>778</v>
      </c>
      <c r="L64" s="111" t="s">
        <v>115</v>
      </c>
      <c r="M64" s="98" t="s">
        <v>779</v>
      </c>
      <c r="N64" s="98" t="s">
        <v>780</v>
      </c>
      <c r="O64" s="102" t="s">
        <v>781</v>
      </c>
    </row>
    <row r="65" spans="1:15" ht="70.05" customHeight="1" x14ac:dyDescent="0.3">
      <c r="A65" s="103">
        <v>64</v>
      </c>
      <c r="B65" s="104"/>
      <c r="C65" s="105"/>
      <c r="D65" s="106" t="s">
        <v>698</v>
      </c>
      <c r="E65" s="107" t="s">
        <v>782</v>
      </c>
      <c r="F65" s="106" t="s">
        <v>783</v>
      </c>
      <c r="G65" s="108" t="s">
        <v>784</v>
      </c>
      <c r="H65" s="106" t="s">
        <v>785</v>
      </c>
      <c r="I65" s="106" t="s">
        <v>786</v>
      </c>
      <c r="J65" s="106" t="s">
        <v>787</v>
      </c>
      <c r="K65" s="106" t="s">
        <v>788</v>
      </c>
      <c r="L65" s="109" t="s">
        <v>136</v>
      </c>
      <c r="M65" s="106" t="s">
        <v>789</v>
      </c>
      <c r="N65" s="106" t="s">
        <v>790</v>
      </c>
      <c r="O65" s="110" t="s">
        <v>708</v>
      </c>
    </row>
    <row r="66" spans="1:15" ht="70.05" customHeight="1" x14ac:dyDescent="0.3">
      <c r="A66" s="95">
        <v>65</v>
      </c>
      <c r="B66" s="104"/>
      <c r="C66" s="105"/>
      <c r="D66" s="98" t="s">
        <v>698</v>
      </c>
      <c r="E66" s="99" t="s">
        <v>791</v>
      </c>
      <c r="F66" s="98" t="s">
        <v>792</v>
      </c>
      <c r="G66" s="100" t="s">
        <v>793</v>
      </c>
      <c r="H66" s="98" t="s">
        <v>794</v>
      </c>
      <c r="I66" s="98" t="s">
        <v>795</v>
      </c>
      <c r="J66" s="98" t="s">
        <v>796</v>
      </c>
      <c r="K66" s="98" t="s">
        <v>797</v>
      </c>
      <c r="L66" s="111" t="s">
        <v>115</v>
      </c>
      <c r="M66" s="98" t="s">
        <v>798</v>
      </c>
      <c r="N66" s="98" t="s">
        <v>799</v>
      </c>
      <c r="O66" s="102" t="s">
        <v>800</v>
      </c>
    </row>
    <row r="67" spans="1:15" ht="70.05" customHeight="1" x14ac:dyDescent="0.3">
      <c r="A67" s="103">
        <v>66</v>
      </c>
      <c r="B67" s="104"/>
      <c r="C67" s="114" t="s">
        <v>801</v>
      </c>
      <c r="D67" s="106" t="s">
        <v>698</v>
      </c>
      <c r="E67" s="107" t="s">
        <v>802</v>
      </c>
      <c r="F67" s="106" t="s">
        <v>803</v>
      </c>
      <c r="G67" s="108" t="s">
        <v>804</v>
      </c>
      <c r="H67" s="106" t="s">
        <v>805</v>
      </c>
      <c r="I67" s="106" t="s">
        <v>806</v>
      </c>
      <c r="J67" s="106" t="s">
        <v>807</v>
      </c>
      <c r="K67" s="106" t="s">
        <v>808</v>
      </c>
      <c r="L67" s="113" t="s">
        <v>115</v>
      </c>
      <c r="M67" s="106" t="s">
        <v>809</v>
      </c>
      <c r="N67" s="106" t="s">
        <v>810</v>
      </c>
      <c r="O67" s="110" t="s">
        <v>811</v>
      </c>
    </row>
    <row r="68" spans="1:15" ht="70.05" customHeight="1" x14ac:dyDescent="0.3">
      <c r="A68" s="95">
        <v>67</v>
      </c>
      <c r="B68" s="104"/>
      <c r="C68" s="105"/>
      <c r="D68" s="98" t="s">
        <v>698</v>
      </c>
      <c r="E68" s="99" t="s">
        <v>812</v>
      </c>
      <c r="F68" s="98" t="s">
        <v>813</v>
      </c>
      <c r="G68" s="100" t="s">
        <v>814</v>
      </c>
      <c r="H68" s="98" t="s">
        <v>815</v>
      </c>
      <c r="I68" s="98" t="s">
        <v>816</v>
      </c>
      <c r="J68" s="98" t="s">
        <v>817</v>
      </c>
      <c r="K68" s="98" t="s">
        <v>818</v>
      </c>
      <c r="L68" s="111" t="s">
        <v>115</v>
      </c>
      <c r="M68" s="98" t="s">
        <v>751</v>
      </c>
      <c r="N68" s="98" t="s">
        <v>819</v>
      </c>
      <c r="O68" s="102" t="s">
        <v>820</v>
      </c>
    </row>
    <row r="69" spans="1:15" ht="70.05" customHeight="1" x14ac:dyDescent="0.3">
      <c r="A69" s="103">
        <v>68</v>
      </c>
      <c r="B69" s="104"/>
      <c r="C69" s="105"/>
      <c r="D69" s="106" t="s">
        <v>698</v>
      </c>
      <c r="E69" s="107" t="s">
        <v>821</v>
      </c>
      <c r="F69" s="106" t="s">
        <v>822</v>
      </c>
      <c r="G69" s="108" t="s">
        <v>823</v>
      </c>
      <c r="H69" s="106" t="s">
        <v>824</v>
      </c>
      <c r="I69" s="106" t="s">
        <v>825</v>
      </c>
      <c r="J69" s="106" t="s">
        <v>826</v>
      </c>
      <c r="K69" s="106" t="s">
        <v>827</v>
      </c>
      <c r="L69" s="113" t="s">
        <v>115</v>
      </c>
      <c r="M69" s="106" t="s">
        <v>809</v>
      </c>
      <c r="N69" s="106" t="s">
        <v>828</v>
      </c>
      <c r="O69" s="110" t="s">
        <v>829</v>
      </c>
    </row>
    <row r="70" spans="1:15" ht="70.05" customHeight="1" x14ac:dyDescent="0.3">
      <c r="A70" s="95">
        <v>69</v>
      </c>
      <c r="B70" s="104"/>
      <c r="C70" s="105"/>
      <c r="D70" s="98" t="s">
        <v>698</v>
      </c>
      <c r="E70" s="99" t="s">
        <v>830</v>
      </c>
      <c r="F70" s="98" t="s">
        <v>831</v>
      </c>
      <c r="G70" s="100" t="s">
        <v>832</v>
      </c>
      <c r="H70" s="98" t="s">
        <v>833</v>
      </c>
      <c r="I70" s="98" t="s">
        <v>834</v>
      </c>
      <c r="J70" s="98" t="s">
        <v>835</v>
      </c>
      <c r="K70" s="98" t="s">
        <v>836</v>
      </c>
      <c r="L70" s="111" t="s">
        <v>115</v>
      </c>
      <c r="M70" s="98" t="s">
        <v>779</v>
      </c>
      <c r="N70" s="98" t="s">
        <v>837</v>
      </c>
      <c r="O70" s="102" t="s">
        <v>725</v>
      </c>
    </row>
    <row r="71" spans="1:15" ht="70.05" customHeight="1" x14ac:dyDescent="0.3">
      <c r="A71" s="103">
        <v>70</v>
      </c>
      <c r="B71" s="117" t="s">
        <v>11</v>
      </c>
      <c r="C71" s="118" t="s">
        <v>838</v>
      </c>
      <c r="D71" s="106" t="s">
        <v>839</v>
      </c>
      <c r="E71" s="107" t="s">
        <v>840</v>
      </c>
      <c r="F71" s="106" t="s">
        <v>841</v>
      </c>
      <c r="G71" s="108" t="s">
        <v>842</v>
      </c>
      <c r="H71" s="106" t="s">
        <v>843</v>
      </c>
      <c r="I71" s="106" t="s">
        <v>844</v>
      </c>
      <c r="J71" s="106" t="s">
        <v>845</v>
      </c>
      <c r="K71" s="106" t="s">
        <v>846</v>
      </c>
      <c r="L71" s="112" t="s">
        <v>242</v>
      </c>
      <c r="M71" s="106" t="s">
        <v>847</v>
      </c>
      <c r="N71" s="106" t="s">
        <v>848</v>
      </c>
      <c r="O71" s="110" t="s">
        <v>849</v>
      </c>
    </row>
    <row r="72" spans="1:15" ht="70.05" customHeight="1" x14ac:dyDescent="0.3">
      <c r="A72" s="95">
        <v>71</v>
      </c>
      <c r="B72" s="117" t="s">
        <v>696</v>
      </c>
      <c r="C72" s="119" t="s">
        <v>850</v>
      </c>
      <c r="D72" s="98" t="s">
        <v>698</v>
      </c>
      <c r="E72" s="99" t="s">
        <v>851</v>
      </c>
      <c r="F72" s="98" t="s">
        <v>852</v>
      </c>
      <c r="G72" s="100" t="s">
        <v>853</v>
      </c>
      <c r="H72" s="98" t="s">
        <v>854</v>
      </c>
      <c r="I72" s="98" t="s">
        <v>855</v>
      </c>
      <c r="J72" s="98" t="s">
        <v>856</v>
      </c>
      <c r="K72" s="98" t="s">
        <v>857</v>
      </c>
      <c r="L72" s="101" t="s">
        <v>136</v>
      </c>
      <c r="M72" s="98" t="s">
        <v>858</v>
      </c>
      <c r="N72" s="98" t="s">
        <v>859</v>
      </c>
      <c r="O72" s="102" t="s">
        <v>860</v>
      </c>
    </row>
    <row r="73" spans="1:15" ht="70.05" customHeight="1" x14ac:dyDescent="0.3">
      <c r="A73" s="103">
        <v>72</v>
      </c>
      <c r="B73" s="120" t="s">
        <v>861</v>
      </c>
      <c r="C73" s="114" t="s">
        <v>862</v>
      </c>
      <c r="D73" s="106" t="s">
        <v>863</v>
      </c>
      <c r="E73" s="107" t="s">
        <v>864</v>
      </c>
      <c r="F73" s="106" t="s">
        <v>865</v>
      </c>
      <c r="G73" s="108" t="s">
        <v>866</v>
      </c>
      <c r="H73" s="106" t="s">
        <v>867</v>
      </c>
      <c r="I73" s="106" t="s">
        <v>868</v>
      </c>
      <c r="J73" s="106" t="s">
        <v>869</v>
      </c>
      <c r="K73" s="106" t="s">
        <v>870</v>
      </c>
      <c r="L73" s="113" t="s">
        <v>115</v>
      </c>
      <c r="M73" s="106" t="s">
        <v>871</v>
      </c>
      <c r="N73" s="106" t="s">
        <v>872</v>
      </c>
      <c r="O73" s="110" t="s">
        <v>873</v>
      </c>
    </row>
    <row r="74" spans="1:15" ht="70.05" customHeight="1" x14ac:dyDescent="0.3">
      <c r="A74" s="95">
        <v>73</v>
      </c>
      <c r="B74" s="104"/>
      <c r="C74" s="105"/>
      <c r="D74" s="98" t="s">
        <v>863</v>
      </c>
      <c r="E74" s="99" t="s">
        <v>874</v>
      </c>
      <c r="F74" s="98" t="s">
        <v>875</v>
      </c>
      <c r="G74" s="100" t="s">
        <v>876</v>
      </c>
      <c r="H74" s="98" t="s">
        <v>877</v>
      </c>
      <c r="I74" s="98" t="s">
        <v>878</v>
      </c>
      <c r="J74" s="98" t="s">
        <v>879</v>
      </c>
      <c r="K74" s="98" t="s">
        <v>880</v>
      </c>
      <c r="L74" s="111" t="s">
        <v>115</v>
      </c>
      <c r="M74" s="98" t="s">
        <v>881</v>
      </c>
      <c r="N74" s="98" t="s">
        <v>882</v>
      </c>
      <c r="O74" s="102" t="s">
        <v>381</v>
      </c>
    </row>
    <row r="75" spans="1:15" ht="70.05" customHeight="1" x14ac:dyDescent="0.3">
      <c r="A75" s="103">
        <v>74</v>
      </c>
      <c r="B75" s="104"/>
      <c r="C75" s="105"/>
      <c r="D75" s="106" t="s">
        <v>863</v>
      </c>
      <c r="E75" s="107" t="s">
        <v>883</v>
      </c>
      <c r="F75" s="106" t="s">
        <v>884</v>
      </c>
      <c r="G75" s="108" t="s">
        <v>885</v>
      </c>
      <c r="H75" s="106" t="s">
        <v>886</v>
      </c>
      <c r="I75" s="106" t="s">
        <v>887</v>
      </c>
      <c r="J75" s="106" t="s">
        <v>888</v>
      </c>
      <c r="K75" s="106" t="s">
        <v>889</v>
      </c>
      <c r="L75" s="113" t="s">
        <v>115</v>
      </c>
      <c r="M75" s="106" t="s">
        <v>881</v>
      </c>
      <c r="N75" s="106" t="s">
        <v>890</v>
      </c>
      <c r="O75" s="110" t="s">
        <v>891</v>
      </c>
    </row>
    <row r="76" spans="1:15" ht="70.05" customHeight="1" x14ac:dyDescent="0.3">
      <c r="A76" s="95">
        <v>75</v>
      </c>
      <c r="B76" s="104"/>
      <c r="C76" s="105"/>
      <c r="D76" s="98" t="s">
        <v>863</v>
      </c>
      <c r="E76" s="99" t="s">
        <v>892</v>
      </c>
      <c r="F76" s="98" t="s">
        <v>893</v>
      </c>
      <c r="G76" s="100" t="s">
        <v>894</v>
      </c>
      <c r="H76" s="98" t="s">
        <v>895</v>
      </c>
      <c r="I76" s="98" t="s">
        <v>896</v>
      </c>
      <c r="J76" s="98" t="s">
        <v>897</v>
      </c>
      <c r="K76" s="98" t="s">
        <v>898</v>
      </c>
      <c r="L76" s="111" t="s">
        <v>115</v>
      </c>
      <c r="M76" s="98" t="s">
        <v>899</v>
      </c>
      <c r="N76" s="98" t="s">
        <v>900</v>
      </c>
      <c r="O76" s="102" t="s">
        <v>901</v>
      </c>
    </row>
    <row r="77" spans="1:15" ht="70.05" customHeight="1" x14ac:dyDescent="0.3">
      <c r="A77" s="103">
        <v>76</v>
      </c>
      <c r="B77" s="104"/>
      <c r="C77" s="114" t="s">
        <v>902</v>
      </c>
      <c r="D77" s="106" t="s">
        <v>863</v>
      </c>
      <c r="E77" s="107" t="s">
        <v>903</v>
      </c>
      <c r="F77" s="106" t="s">
        <v>904</v>
      </c>
      <c r="G77" s="108" t="s">
        <v>905</v>
      </c>
      <c r="H77" s="106" t="s">
        <v>906</v>
      </c>
      <c r="I77" s="106" t="s">
        <v>907</v>
      </c>
      <c r="J77" s="106" t="s">
        <v>908</v>
      </c>
      <c r="K77" s="106" t="s">
        <v>909</v>
      </c>
      <c r="L77" s="109" t="s">
        <v>136</v>
      </c>
      <c r="M77" s="106" t="s">
        <v>881</v>
      </c>
      <c r="N77" s="106" t="s">
        <v>910</v>
      </c>
      <c r="O77" s="110" t="s">
        <v>911</v>
      </c>
    </row>
    <row r="78" spans="1:15" ht="70.05" customHeight="1" x14ac:dyDescent="0.3">
      <c r="A78" s="95">
        <v>77</v>
      </c>
      <c r="B78" s="104"/>
      <c r="C78" s="105"/>
      <c r="D78" s="98" t="s">
        <v>863</v>
      </c>
      <c r="E78" s="99" t="s">
        <v>912</v>
      </c>
      <c r="F78" s="98" t="s">
        <v>913</v>
      </c>
      <c r="G78" s="100" t="s">
        <v>914</v>
      </c>
      <c r="H78" s="98" t="s">
        <v>915</v>
      </c>
      <c r="I78" s="98" t="s">
        <v>916</v>
      </c>
      <c r="J78" s="98" t="s">
        <v>917</v>
      </c>
      <c r="K78" s="98" t="s">
        <v>918</v>
      </c>
      <c r="L78" s="101" t="s">
        <v>136</v>
      </c>
      <c r="M78" s="98" t="s">
        <v>919</v>
      </c>
      <c r="N78" s="98" t="s">
        <v>920</v>
      </c>
      <c r="O78" s="102" t="s">
        <v>921</v>
      </c>
    </row>
    <row r="79" spans="1:15" ht="70.05" customHeight="1" x14ac:dyDescent="0.3">
      <c r="A79" s="103">
        <v>78</v>
      </c>
      <c r="B79" s="104"/>
      <c r="C79" s="105"/>
      <c r="D79" s="106" t="s">
        <v>863</v>
      </c>
      <c r="E79" s="107" t="s">
        <v>922</v>
      </c>
      <c r="F79" s="106" t="s">
        <v>923</v>
      </c>
      <c r="G79" s="108" t="s">
        <v>924</v>
      </c>
      <c r="H79" s="106" t="s">
        <v>925</v>
      </c>
      <c r="I79" s="106" t="s">
        <v>926</v>
      </c>
      <c r="J79" s="106" t="s">
        <v>927</v>
      </c>
      <c r="K79" s="106" t="s">
        <v>928</v>
      </c>
      <c r="L79" s="109" t="s">
        <v>136</v>
      </c>
      <c r="M79" s="106" t="s">
        <v>919</v>
      </c>
      <c r="N79" s="106" t="s">
        <v>929</v>
      </c>
      <c r="O79" s="110" t="s">
        <v>921</v>
      </c>
    </row>
    <row r="80" spans="1:15" ht="70.05" customHeight="1" x14ac:dyDescent="0.3">
      <c r="A80" s="95">
        <v>79</v>
      </c>
      <c r="B80" s="104"/>
      <c r="C80" s="97" t="s">
        <v>930</v>
      </c>
      <c r="D80" s="98" t="s">
        <v>863</v>
      </c>
      <c r="E80" s="99" t="s">
        <v>931</v>
      </c>
      <c r="F80" s="98" t="s">
        <v>932</v>
      </c>
      <c r="G80" s="100" t="s">
        <v>933</v>
      </c>
      <c r="H80" s="98" t="s">
        <v>934</v>
      </c>
      <c r="I80" s="98" t="s">
        <v>935</v>
      </c>
      <c r="J80" s="98" t="s">
        <v>936</v>
      </c>
      <c r="K80" s="98" t="s">
        <v>937</v>
      </c>
      <c r="L80" s="101" t="s">
        <v>136</v>
      </c>
      <c r="M80" s="98" t="s">
        <v>938</v>
      </c>
      <c r="N80" s="98" t="s">
        <v>939</v>
      </c>
      <c r="O80" s="102" t="s">
        <v>940</v>
      </c>
    </row>
    <row r="81" spans="1:15" ht="70.05" customHeight="1" x14ac:dyDescent="0.3">
      <c r="A81" s="103">
        <v>80</v>
      </c>
      <c r="B81" s="104"/>
      <c r="C81" s="105"/>
      <c r="D81" s="106" t="s">
        <v>863</v>
      </c>
      <c r="E81" s="107" t="s">
        <v>941</v>
      </c>
      <c r="F81" s="106" t="s">
        <v>942</v>
      </c>
      <c r="G81" s="108" t="s">
        <v>943</v>
      </c>
      <c r="H81" s="106" t="s">
        <v>944</v>
      </c>
      <c r="I81" s="106" t="s">
        <v>945</v>
      </c>
      <c r="J81" s="106" t="s">
        <v>946</v>
      </c>
      <c r="K81" s="106" t="s">
        <v>947</v>
      </c>
      <c r="L81" s="109" t="s">
        <v>136</v>
      </c>
      <c r="M81" s="106" t="s">
        <v>948</v>
      </c>
      <c r="N81" s="106" t="s">
        <v>949</v>
      </c>
      <c r="O81" s="110" t="s">
        <v>950</v>
      </c>
    </row>
    <row r="82" spans="1:15" ht="70.05" customHeight="1" x14ac:dyDescent="0.3">
      <c r="A82" s="95">
        <v>81</v>
      </c>
      <c r="B82" s="104"/>
      <c r="C82" s="105"/>
      <c r="D82" s="98" t="s">
        <v>863</v>
      </c>
      <c r="E82" s="99" t="s">
        <v>951</v>
      </c>
      <c r="F82" s="98" t="s">
        <v>952</v>
      </c>
      <c r="G82" s="100" t="s">
        <v>953</v>
      </c>
      <c r="H82" s="98" t="s">
        <v>954</v>
      </c>
      <c r="I82" s="98" t="s">
        <v>955</v>
      </c>
      <c r="J82" s="98" t="s">
        <v>956</v>
      </c>
      <c r="K82" s="98" t="s">
        <v>957</v>
      </c>
      <c r="L82" s="111" t="s">
        <v>115</v>
      </c>
      <c r="M82" s="98" t="s">
        <v>751</v>
      </c>
      <c r="N82" s="98" t="s">
        <v>958</v>
      </c>
      <c r="O82" s="102" t="s">
        <v>959</v>
      </c>
    </row>
    <row r="83" spans="1:15" ht="70.05" customHeight="1" x14ac:dyDescent="0.3">
      <c r="A83" s="103">
        <v>82</v>
      </c>
      <c r="B83" s="104"/>
      <c r="C83" s="105"/>
      <c r="D83" s="106" t="s">
        <v>863</v>
      </c>
      <c r="E83" s="107" t="s">
        <v>960</v>
      </c>
      <c r="F83" s="106" t="s">
        <v>961</v>
      </c>
      <c r="G83" s="108" t="s">
        <v>962</v>
      </c>
      <c r="H83" s="106" t="s">
        <v>963</v>
      </c>
      <c r="I83" s="106" t="s">
        <v>964</v>
      </c>
      <c r="J83" s="106" t="s">
        <v>965</v>
      </c>
      <c r="K83" s="106" t="s">
        <v>966</v>
      </c>
      <c r="L83" s="113" t="s">
        <v>115</v>
      </c>
      <c r="M83" s="106" t="s">
        <v>899</v>
      </c>
      <c r="N83" s="106" t="s">
        <v>890</v>
      </c>
      <c r="O83" s="110" t="s">
        <v>967</v>
      </c>
    </row>
    <row r="84" spans="1:15" ht="70.05" customHeight="1" x14ac:dyDescent="0.3">
      <c r="A84" s="95">
        <v>83</v>
      </c>
      <c r="B84" s="104"/>
      <c r="C84" s="105"/>
      <c r="D84" s="98" t="s">
        <v>863</v>
      </c>
      <c r="E84" s="99" t="s">
        <v>968</v>
      </c>
      <c r="F84" s="98" t="s">
        <v>969</v>
      </c>
      <c r="G84" s="100" t="s">
        <v>970</v>
      </c>
      <c r="H84" s="98" t="s">
        <v>971</v>
      </c>
      <c r="I84" s="98" t="s">
        <v>972</v>
      </c>
      <c r="J84" s="98" t="s">
        <v>973</v>
      </c>
      <c r="K84" s="98" t="s">
        <v>974</v>
      </c>
      <c r="L84" s="101" t="s">
        <v>136</v>
      </c>
      <c r="M84" s="98" t="s">
        <v>975</v>
      </c>
      <c r="N84" s="98" t="s">
        <v>976</v>
      </c>
      <c r="O84" s="102" t="s">
        <v>829</v>
      </c>
    </row>
    <row r="85" spans="1:15" ht="70.05" customHeight="1" x14ac:dyDescent="0.3">
      <c r="A85" s="103">
        <v>84</v>
      </c>
      <c r="B85" s="104"/>
      <c r="C85" s="105"/>
      <c r="D85" s="106" t="s">
        <v>863</v>
      </c>
      <c r="E85" s="107" t="s">
        <v>977</v>
      </c>
      <c r="F85" s="106" t="s">
        <v>978</v>
      </c>
      <c r="G85" s="108" t="s">
        <v>979</v>
      </c>
      <c r="H85" s="106" t="s">
        <v>980</v>
      </c>
      <c r="I85" s="106" t="s">
        <v>981</v>
      </c>
      <c r="J85" s="106" t="s">
        <v>982</v>
      </c>
      <c r="K85" s="106" t="s">
        <v>983</v>
      </c>
      <c r="L85" s="113" t="s">
        <v>115</v>
      </c>
      <c r="M85" s="106" t="s">
        <v>881</v>
      </c>
      <c r="N85" s="106" t="s">
        <v>984</v>
      </c>
      <c r="O85" s="110" t="s">
        <v>985</v>
      </c>
    </row>
    <row r="86" spans="1:15" ht="70.05" customHeight="1" x14ac:dyDescent="0.3">
      <c r="A86" s="95">
        <v>85</v>
      </c>
      <c r="B86" s="104"/>
      <c r="C86" s="105"/>
      <c r="D86" s="98" t="s">
        <v>863</v>
      </c>
      <c r="E86" s="99" t="s">
        <v>986</v>
      </c>
      <c r="F86" s="98" t="s">
        <v>987</v>
      </c>
      <c r="G86" s="100" t="s">
        <v>988</v>
      </c>
      <c r="H86" s="98" t="s">
        <v>989</v>
      </c>
      <c r="I86" s="98" t="s">
        <v>990</v>
      </c>
      <c r="J86" s="98" t="s">
        <v>991</v>
      </c>
      <c r="K86" s="98" t="s">
        <v>992</v>
      </c>
      <c r="L86" s="101" t="s">
        <v>136</v>
      </c>
      <c r="M86" s="98" t="s">
        <v>751</v>
      </c>
      <c r="N86" s="98" t="s">
        <v>993</v>
      </c>
      <c r="O86" s="102" t="s">
        <v>994</v>
      </c>
    </row>
    <row r="87" spans="1:15" ht="70.05" customHeight="1" x14ac:dyDescent="0.3">
      <c r="A87" s="103">
        <v>86</v>
      </c>
      <c r="B87" s="121" t="s">
        <v>995</v>
      </c>
      <c r="C87" s="114" t="s">
        <v>996</v>
      </c>
      <c r="D87" s="106" t="s">
        <v>997</v>
      </c>
      <c r="E87" s="107" t="s">
        <v>998</v>
      </c>
      <c r="F87" s="106" t="s">
        <v>999</v>
      </c>
      <c r="G87" s="108" t="s">
        <v>1000</v>
      </c>
      <c r="H87" s="106" t="s">
        <v>1001</v>
      </c>
      <c r="I87" s="106" t="s">
        <v>1002</v>
      </c>
      <c r="J87" s="106" t="s">
        <v>1003</v>
      </c>
      <c r="K87" s="106" t="s">
        <v>1004</v>
      </c>
      <c r="L87" s="109" t="s">
        <v>136</v>
      </c>
      <c r="M87" s="106" t="s">
        <v>1005</v>
      </c>
      <c r="N87" s="106" t="s">
        <v>1006</v>
      </c>
      <c r="O87" s="110" t="s">
        <v>1007</v>
      </c>
    </row>
    <row r="88" spans="1:15" ht="70.05" customHeight="1" x14ac:dyDescent="0.3">
      <c r="A88" s="95">
        <v>87</v>
      </c>
      <c r="B88" s="104"/>
      <c r="C88" s="105"/>
      <c r="D88" s="98" t="s">
        <v>997</v>
      </c>
      <c r="E88" s="99" t="s">
        <v>1008</v>
      </c>
      <c r="F88" s="98" t="s">
        <v>1009</v>
      </c>
      <c r="G88" s="100" t="s">
        <v>1010</v>
      </c>
      <c r="H88" s="98" t="s">
        <v>1011</v>
      </c>
      <c r="I88" s="98" t="s">
        <v>1012</v>
      </c>
      <c r="J88" s="98" t="s">
        <v>1013</v>
      </c>
      <c r="K88" s="98" t="s">
        <v>1014</v>
      </c>
      <c r="L88" s="115" t="s">
        <v>242</v>
      </c>
      <c r="M88" s="98" t="s">
        <v>1015</v>
      </c>
      <c r="N88" s="98" t="s">
        <v>1016</v>
      </c>
      <c r="O88" s="102" t="s">
        <v>1017</v>
      </c>
    </row>
    <row r="89" spans="1:15" ht="70.05" customHeight="1" x14ac:dyDescent="0.3">
      <c r="A89" s="103">
        <v>88</v>
      </c>
      <c r="B89" s="104"/>
      <c r="C89" s="105"/>
      <c r="D89" s="106" t="s">
        <v>997</v>
      </c>
      <c r="E89" s="107" t="s">
        <v>1018</v>
      </c>
      <c r="F89" s="106" t="s">
        <v>1019</v>
      </c>
      <c r="G89" s="108" t="s">
        <v>1020</v>
      </c>
      <c r="H89" s="106" t="s">
        <v>1021</v>
      </c>
      <c r="I89" s="106" t="s">
        <v>1022</v>
      </c>
      <c r="J89" s="106" t="s">
        <v>1023</v>
      </c>
      <c r="K89" s="106" t="s">
        <v>1024</v>
      </c>
      <c r="L89" s="112" t="s">
        <v>242</v>
      </c>
      <c r="M89" s="106" t="s">
        <v>1005</v>
      </c>
      <c r="N89" s="106" t="s">
        <v>1025</v>
      </c>
      <c r="O89" s="110" t="s">
        <v>1026</v>
      </c>
    </row>
    <row r="90" spans="1:15" ht="70.05" customHeight="1" x14ac:dyDescent="0.3">
      <c r="A90" s="95">
        <v>89</v>
      </c>
      <c r="B90" s="104"/>
      <c r="C90" s="97" t="s">
        <v>1027</v>
      </c>
      <c r="D90" s="98" t="s">
        <v>1028</v>
      </c>
      <c r="E90" s="99" t="s">
        <v>1029</v>
      </c>
      <c r="F90" s="98" t="s">
        <v>1030</v>
      </c>
      <c r="G90" s="100" t="s">
        <v>1031</v>
      </c>
      <c r="H90" s="98" t="s">
        <v>1032</v>
      </c>
      <c r="I90" s="98" t="s">
        <v>1033</v>
      </c>
      <c r="J90" s="98" t="s">
        <v>1034</v>
      </c>
      <c r="K90" s="98" t="s">
        <v>1035</v>
      </c>
      <c r="L90" s="115" t="s">
        <v>242</v>
      </c>
      <c r="M90" s="98" t="s">
        <v>243</v>
      </c>
      <c r="N90" s="98" t="s">
        <v>1036</v>
      </c>
      <c r="O90" s="102" t="s">
        <v>1037</v>
      </c>
    </row>
    <row r="91" spans="1:15" ht="70.05" customHeight="1" x14ac:dyDescent="0.3">
      <c r="A91" s="103">
        <v>90</v>
      </c>
      <c r="B91" s="104"/>
      <c r="C91" s="105"/>
      <c r="D91" s="106" t="s">
        <v>1028</v>
      </c>
      <c r="E91" s="107" t="s">
        <v>1038</v>
      </c>
      <c r="F91" s="106" t="s">
        <v>1039</v>
      </c>
      <c r="G91" s="108" t="s">
        <v>1040</v>
      </c>
      <c r="H91" s="106" t="s">
        <v>1041</v>
      </c>
      <c r="I91" s="106" t="s">
        <v>1042</v>
      </c>
      <c r="J91" s="106" t="s">
        <v>280</v>
      </c>
      <c r="K91" s="106" t="s">
        <v>1043</v>
      </c>
      <c r="L91" s="112" t="s">
        <v>242</v>
      </c>
      <c r="M91" s="106" t="s">
        <v>243</v>
      </c>
      <c r="N91" s="106" t="s">
        <v>1044</v>
      </c>
      <c r="O91" s="110" t="s">
        <v>1045</v>
      </c>
    </row>
    <row r="92" spans="1:15" ht="70.05" customHeight="1" x14ac:dyDescent="0.3">
      <c r="A92" s="95">
        <v>91</v>
      </c>
      <c r="B92" s="104"/>
      <c r="C92" s="105"/>
      <c r="D92" s="98" t="s">
        <v>1028</v>
      </c>
      <c r="E92" s="99" t="s">
        <v>1046</v>
      </c>
      <c r="F92" s="98" t="s">
        <v>1047</v>
      </c>
      <c r="G92" s="100" t="s">
        <v>1048</v>
      </c>
      <c r="H92" s="98" t="s">
        <v>1049</v>
      </c>
      <c r="I92" s="98" t="s">
        <v>1050</v>
      </c>
      <c r="J92" s="98" t="s">
        <v>1051</v>
      </c>
      <c r="K92" s="98" t="s">
        <v>1052</v>
      </c>
      <c r="L92" s="101" t="s">
        <v>136</v>
      </c>
      <c r="M92" s="98" t="s">
        <v>243</v>
      </c>
      <c r="N92" s="98" t="s">
        <v>1053</v>
      </c>
      <c r="O92" s="102" t="s">
        <v>1054</v>
      </c>
    </row>
    <row r="93" spans="1:15" ht="70.05" customHeight="1" x14ac:dyDescent="0.3">
      <c r="A93" s="103">
        <v>92</v>
      </c>
      <c r="B93" s="104"/>
      <c r="C93" s="105"/>
      <c r="D93" s="106" t="s">
        <v>1028</v>
      </c>
      <c r="E93" s="107" t="s">
        <v>1055</v>
      </c>
      <c r="F93" s="106" t="s">
        <v>1056</v>
      </c>
      <c r="G93" s="108" t="s">
        <v>1057</v>
      </c>
      <c r="H93" s="106" t="s">
        <v>1058</v>
      </c>
      <c r="I93" s="106" t="s">
        <v>1059</v>
      </c>
      <c r="J93" s="106" t="s">
        <v>1060</v>
      </c>
      <c r="K93" s="106" t="s">
        <v>1061</v>
      </c>
      <c r="L93" s="109" t="s">
        <v>136</v>
      </c>
      <c r="M93" s="106" t="s">
        <v>243</v>
      </c>
      <c r="N93" s="106" t="s">
        <v>1062</v>
      </c>
      <c r="O93" s="110" t="s">
        <v>1045</v>
      </c>
    </row>
    <row r="94" spans="1:15" ht="70.05" customHeight="1" x14ac:dyDescent="0.3">
      <c r="A94" s="95">
        <v>93</v>
      </c>
      <c r="B94" s="104"/>
      <c r="C94" s="105"/>
      <c r="D94" s="98" t="s">
        <v>1028</v>
      </c>
      <c r="E94" s="99" t="s">
        <v>1063</v>
      </c>
      <c r="F94" s="98" t="s">
        <v>1064</v>
      </c>
      <c r="G94" s="100" t="s">
        <v>1065</v>
      </c>
      <c r="H94" s="98" t="s">
        <v>1066</v>
      </c>
      <c r="I94" s="98" t="s">
        <v>1067</v>
      </c>
      <c r="J94" s="98" t="s">
        <v>1068</v>
      </c>
      <c r="K94" s="98" t="s">
        <v>1069</v>
      </c>
      <c r="L94" s="115" t="s">
        <v>242</v>
      </c>
      <c r="M94" s="98" t="s">
        <v>243</v>
      </c>
      <c r="N94" s="98" t="s">
        <v>1070</v>
      </c>
      <c r="O94" s="102" t="s">
        <v>1045</v>
      </c>
    </row>
    <row r="95" spans="1:15" ht="70.05" customHeight="1" x14ac:dyDescent="0.3">
      <c r="A95" s="103">
        <v>94</v>
      </c>
      <c r="B95" s="104"/>
      <c r="C95" s="105"/>
      <c r="D95" s="106" t="s">
        <v>1028</v>
      </c>
      <c r="E95" s="107" t="s">
        <v>1071</v>
      </c>
      <c r="F95" s="106" t="s">
        <v>1072</v>
      </c>
      <c r="G95" s="108" t="s">
        <v>1073</v>
      </c>
      <c r="H95" s="106" t="s">
        <v>1074</v>
      </c>
      <c r="I95" s="106" t="s">
        <v>1075</v>
      </c>
      <c r="J95" s="106" t="s">
        <v>1076</v>
      </c>
      <c r="K95" s="106" t="s">
        <v>1077</v>
      </c>
      <c r="L95" s="109" t="s">
        <v>136</v>
      </c>
      <c r="M95" s="106" t="s">
        <v>243</v>
      </c>
      <c r="N95" s="106" t="s">
        <v>1078</v>
      </c>
      <c r="O95" s="110" t="s">
        <v>1079</v>
      </c>
    </row>
    <row r="96" spans="1:15" ht="70.05" customHeight="1" x14ac:dyDescent="0.3">
      <c r="A96" s="95">
        <v>95</v>
      </c>
      <c r="B96" s="104"/>
      <c r="C96" s="97" t="s">
        <v>1080</v>
      </c>
      <c r="D96" s="98" t="s">
        <v>997</v>
      </c>
      <c r="E96" s="99" t="s">
        <v>1081</v>
      </c>
      <c r="F96" s="98" t="s">
        <v>1082</v>
      </c>
      <c r="G96" s="100" t="s">
        <v>1083</v>
      </c>
      <c r="H96" s="98" t="s">
        <v>1084</v>
      </c>
      <c r="I96" s="98" t="s">
        <v>1085</v>
      </c>
      <c r="J96" s="98" t="s">
        <v>1086</v>
      </c>
      <c r="K96" s="98" t="s">
        <v>1087</v>
      </c>
      <c r="L96" s="101" t="s">
        <v>136</v>
      </c>
      <c r="M96" s="98" t="s">
        <v>1088</v>
      </c>
      <c r="N96" s="98" t="s">
        <v>1089</v>
      </c>
      <c r="O96" s="102" t="s">
        <v>1017</v>
      </c>
    </row>
    <row r="97" spans="1:15" ht="70.05" customHeight="1" x14ac:dyDescent="0.3">
      <c r="A97" s="103">
        <v>96</v>
      </c>
      <c r="B97" s="104"/>
      <c r="C97" s="105"/>
      <c r="D97" s="106" t="s">
        <v>997</v>
      </c>
      <c r="E97" s="107" t="s">
        <v>1090</v>
      </c>
      <c r="F97" s="106" t="s">
        <v>1091</v>
      </c>
      <c r="G97" s="108" t="s">
        <v>1092</v>
      </c>
      <c r="H97" s="106" t="s">
        <v>1093</v>
      </c>
      <c r="I97" s="106" t="s">
        <v>1094</v>
      </c>
      <c r="J97" s="106" t="s">
        <v>1095</v>
      </c>
      <c r="K97" s="106" t="s">
        <v>1096</v>
      </c>
      <c r="L97" s="109" t="s">
        <v>136</v>
      </c>
      <c r="M97" s="106" t="s">
        <v>1097</v>
      </c>
      <c r="N97" s="106" t="s">
        <v>1098</v>
      </c>
      <c r="O97" s="110" t="s">
        <v>1007</v>
      </c>
    </row>
    <row r="98" spans="1:15" ht="70.05" customHeight="1" x14ac:dyDescent="0.3">
      <c r="A98" s="95">
        <v>97</v>
      </c>
      <c r="B98" s="104"/>
      <c r="C98" s="105"/>
      <c r="D98" s="98" t="s">
        <v>997</v>
      </c>
      <c r="E98" s="99" t="s">
        <v>1099</v>
      </c>
      <c r="F98" s="98" t="s">
        <v>1100</v>
      </c>
      <c r="G98" s="100" t="s">
        <v>1101</v>
      </c>
      <c r="H98" s="98" t="s">
        <v>1102</v>
      </c>
      <c r="I98" s="98" t="s">
        <v>1103</v>
      </c>
      <c r="J98" s="98" t="s">
        <v>1104</v>
      </c>
      <c r="K98" s="98" t="s">
        <v>1105</v>
      </c>
      <c r="L98" s="115" t="s">
        <v>242</v>
      </c>
      <c r="M98" s="98" t="s">
        <v>1106</v>
      </c>
      <c r="N98" s="98" t="s">
        <v>1107</v>
      </c>
      <c r="O98" s="102" t="s">
        <v>1108</v>
      </c>
    </row>
    <row r="99" spans="1:15" ht="70.05" customHeight="1" x14ac:dyDescent="0.3">
      <c r="A99" s="103">
        <v>98</v>
      </c>
      <c r="B99" s="104"/>
      <c r="C99" s="105"/>
      <c r="D99" s="106" t="s">
        <v>997</v>
      </c>
      <c r="E99" s="107" t="s">
        <v>1109</v>
      </c>
      <c r="F99" s="106" t="s">
        <v>1110</v>
      </c>
      <c r="G99" s="108" t="s">
        <v>1111</v>
      </c>
      <c r="H99" s="106" t="s">
        <v>1112</v>
      </c>
      <c r="I99" s="106" t="s">
        <v>1113</v>
      </c>
      <c r="J99" s="106" t="s">
        <v>1114</v>
      </c>
      <c r="K99" s="106" t="s">
        <v>1115</v>
      </c>
      <c r="L99" s="113" t="s">
        <v>115</v>
      </c>
      <c r="M99" s="106" t="s">
        <v>1116</v>
      </c>
      <c r="N99" s="106" t="s">
        <v>1117</v>
      </c>
      <c r="O99" s="110" t="s">
        <v>1118</v>
      </c>
    </row>
    <row r="100" spans="1:15" ht="70.05" customHeight="1" x14ac:dyDescent="0.3">
      <c r="A100" s="95">
        <v>99</v>
      </c>
      <c r="B100" s="104"/>
      <c r="C100" s="105"/>
      <c r="D100" s="98" t="s">
        <v>997</v>
      </c>
      <c r="E100" s="99" t="s">
        <v>1119</v>
      </c>
      <c r="F100" s="98" t="s">
        <v>1120</v>
      </c>
      <c r="G100" s="100" t="s">
        <v>1121</v>
      </c>
      <c r="H100" s="98" t="s">
        <v>1122</v>
      </c>
      <c r="I100" s="98" t="s">
        <v>1123</v>
      </c>
      <c r="J100" s="98" t="s">
        <v>1124</v>
      </c>
      <c r="K100" s="98" t="s">
        <v>1125</v>
      </c>
      <c r="L100" s="115" t="s">
        <v>242</v>
      </c>
      <c r="M100" s="98" t="s">
        <v>1126</v>
      </c>
      <c r="N100" s="98" t="s">
        <v>1127</v>
      </c>
      <c r="O100" s="102" t="s">
        <v>1128</v>
      </c>
    </row>
    <row r="101" spans="1:15" ht="70.05" customHeight="1" x14ac:dyDescent="0.3">
      <c r="A101" s="103">
        <v>100</v>
      </c>
      <c r="B101" s="104"/>
      <c r="C101" s="105"/>
      <c r="D101" s="106" t="s">
        <v>997</v>
      </c>
      <c r="E101" s="107" t="s">
        <v>1129</v>
      </c>
      <c r="F101" s="106" t="s">
        <v>1130</v>
      </c>
      <c r="G101" s="108" t="s">
        <v>1131</v>
      </c>
      <c r="H101" s="106" t="s">
        <v>1132</v>
      </c>
      <c r="I101" s="106" t="s">
        <v>1133</v>
      </c>
      <c r="J101" s="106" t="s">
        <v>1134</v>
      </c>
      <c r="K101" s="106" t="s">
        <v>1135</v>
      </c>
      <c r="L101" s="109" t="s">
        <v>136</v>
      </c>
      <c r="M101" s="106" t="s">
        <v>1136</v>
      </c>
      <c r="N101" s="106" t="s">
        <v>1137</v>
      </c>
      <c r="O101" s="110" t="s">
        <v>1118</v>
      </c>
    </row>
    <row r="102" spans="1:15" ht="70.05" customHeight="1" x14ac:dyDescent="0.3">
      <c r="A102" s="95">
        <v>101</v>
      </c>
      <c r="B102" s="104"/>
      <c r="C102" s="97" t="s">
        <v>1138</v>
      </c>
      <c r="D102" s="98" t="s">
        <v>1028</v>
      </c>
      <c r="E102" s="99" t="s">
        <v>1139</v>
      </c>
      <c r="F102" s="98" t="s">
        <v>1140</v>
      </c>
      <c r="G102" s="100" t="s">
        <v>1141</v>
      </c>
      <c r="H102" s="98" t="s">
        <v>1142</v>
      </c>
      <c r="I102" s="98" t="s">
        <v>1143</v>
      </c>
      <c r="J102" s="98" t="s">
        <v>1144</v>
      </c>
      <c r="K102" s="98" t="s">
        <v>1145</v>
      </c>
      <c r="L102" s="101" t="s">
        <v>136</v>
      </c>
      <c r="M102" s="98" t="s">
        <v>1146</v>
      </c>
      <c r="N102" s="98" t="s">
        <v>1147</v>
      </c>
      <c r="O102" s="102" t="s">
        <v>1148</v>
      </c>
    </row>
    <row r="103" spans="1:15" ht="70.05" customHeight="1" x14ac:dyDescent="0.3">
      <c r="A103" s="103">
        <v>102</v>
      </c>
      <c r="B103" s="104"/>
      <c r="C103" s="105"/>
      <c r="D103" s="106" t="s">
        <v>1028</v>
      </c>
      <c r="E103" s="107" t="s">
        <v>1149</v>
      </c>
      <c r="F103" s="106" t="s">
        <v>1150</v>
      </c>
      <c r="G103" s="108" t="s">
        <v>1151</v>
      </c>
      <c r="H103" s="106" t="s">
        <v>1152</v>
      </c>
      <c r="I103" s="106" t="s">
        <v>1153</v>
      </c>
      <c r="J103" s="106" t="s">
        <v>1154</v>
      </c>
      <c r="K103" s="106" t="s">
        <v>1155</v>
      </c>
      <c r="L103" s="113" t="s">
        <v>115</v>
      </c>
      <c r="M103" s="106" t="s">
        <v>770</v>
      </c>
      <c r="N103" s="106" t="s">
        <v>1156</v>
      </c>
      <c r="O103" s="110" t="s">
        <v>1157</v>
      </c>
    </row>
    <row r="104" spans="1:15" ht="70.05" customHeight="1" x14ac:dyDescent="0.3">
      <c r="A104" s="95">
        <v>103</v>
      </c>
      <c r="B104" s="104"/>
      <c r="C104" s="105"/>
      <c r="D104" s="98" t="s">
        <v>1028</v>
      </c>
      <c r="E104" s="99" t="s">
        <v>1158</v>
      </c>
      <c r="F104" s="98" t="s">
        <v>1159</v>
      </c>
      <c r="G104" s="100" t="s">
        <v>1160</v>
      </c>
      <c r="H104" s="98" t="s">
        <v>1161</v>
      </c>
      <c r="I104" s="98" t="s">
        <v>1162</v>
      </c>
      <c r="J104" s="98" t="s">
        <v>1163</v>
      </c>
      <c r="K104" s="98" t="s">
        <v>1164</v>
      </c>
      <c r="L104" s="101" t="s">
        <v>136</v>
      </c>
      <c r="M104" s="98" t="s">
        <v>309</v>
      </c>
      <c r="N104" s="98" t="s">
        <v>1165</v>
      </c>
      <c r="O104" s="102" t="s">
        <v>1166</v>
      </c>
    </row>
    <row r="105" spans="1:15" ht="70.05" customHeight="1" x14ac:dyDescent="0.3">
      <c r="A105" s="103">
        <v>104</v>
      </c>
      <c r="B105" s="104"/>
      <c r="C105" s="105"/>
      <c r="D105" s="106" t="s">
        <v>1028</v>
      </c>
      <c r="E105" s="107" t="s">
        <v>1167</v>
      </c>
      <c r="F105" s="106" t="s">
        <v>1168</v>
      </c>
      <c r="G105" s="108" t="s">
        <v>1169</v>
      </c>
      <c r="H105" s="106" t="s">
        <v>1170</v>
      </c>
      <c r="I105" s="106" t="s">
        <v>1171</v>
      </c>
      <c r="J105" s="106" t="s">
        <v>1172</v>
      </c>
      <c r="K105" s="106" t="s">
        <v>1173</v>
      </c>
      <c r="L105" s="109" t="s">
        <v>136</v>
      </c>
      <c r="M105" s="106" t="s">
        <v>243</v>
      </c>
      <c r="N105" s="106" t="s">
        <v>1174</v>
      </c>
      <c r="O105" s="110" t="s">
        <v>1175</v>
      </c>
    </row>
    <row r="106" spans="1:15" ht="70.05" customHeight="1" x14ac:dyDescent="0.3">
      <c r="A106" s="95">
        <v>105</v>
      </c>
      <c r="B106" s="104"/>
      <c r="C106" s="105"/>
      <c r="D106" s="98" t="s">
        <v>1028</v>
      </c>
      <c r="E106" s="99" t="s">
        <v>1176</v>
      </c>
      <c r="F106" s="98" t="s">
        <v>1177</v>
      </c>
      <c r="G106" s="100" t="s">
        <v>1178</v>
      </c>
      <c r="H106" s="98" t="s">
        <v>1179</v>
      </c>
      <c r="I106" s="98" t="s">
        <v>1180</v>
      </c>
      <c r="J106" s="98" t="s">
        <v>1181</v>
      </c>
      <c r="K106" s="98" t="s">
        <v>1182</v>
      </c>
      <c r="L106" s="101" t="s">
        <v>136</v>
      </c>
      <c r="M106" s="98" t="s">
        <v>243</v>
      </c>
      <c r="N106" s="98" t="s">
        <v>1183</v>
      </c>
      <c r="O106" s="102" t="s">
        <v>1184</v>
      </c>
    </row>
    <row r="107" spans="1:15" ht="70.05" customHeight="1" x14ac:dyDescent="0.3">
      <c r="A107" s="103">
        <v>106</v>
      </c>
      <c r="B107" s="104"/>
      <c r="C107" s="105"/>
      <c r="D107" s="106" t="s">
        <v>1028</v>
      </c>
      <c r="E107" s="107" t="s">
        <v>1185</v>
      </c>
      <c r="F107" s="106" t="s">
        <v>1186</v>
      </c>
      <c r="G107" s="108" t="s">
        <v>1187</v>
      </c>
      <c r="H107" s="106" t="s">
        <v>1188</v>
      </c>
      <c r="I107" s="106" t="s">
        <v>1189</v>
      </c>
      <c r="J107" s="106" t="s">
        <v>1190</v>
      </c>
      <c r="K107" s="106" t="s">
        <v>1191</v>
      </c>
      <c r="L107" s="109" t="s">
        <v>136</v>
      </c>
      <c r="M107" s="106" t="s">
        <v>1192</v>
      </c>
      <c r="N107" s="106" t="s">
        <v>1193</v>
      </c>
      <c r="O107" s="110" t="s">
        <v>1194</v>
      </c>
    </row>
    <row r="108" spans="1:15" ht="70.05" customHeight="1" x14ac:dyDescent="0.3">
      <c r="A108" s="95">
        <v>107</v>
      </c>
      <c r="B108" s="104"/>
      <c r="C108" s="105"/>
      <c r="D108" s="98" t="s">
        <v>1028</v>
      </c>
      <c r="E108" s="128" t="s">
        <v>1195</v>
      </c>
      <c r="F108" s="98" t="s">
        <v>1196</v>
      </c>
      <c r="G108" s="100" t="s">
        <v>1197</v>
      </c>
      <c r="H108" s="98" t="s">
        <v>1198</v>
      </c>
      <c r="I108" s="98" t="s">
        <v>1199</v>
      </c>
      <c r="J108" s="98" t="s">
        <v>1200</v>
      </c>
      <c r="K108" s="98" t="s">
        <v>1201</v>
      </c>
      <c r="L108" s="101" t="s">
        <v>136</v>
      </c>
      <c r="M108" s="98" t="s">
        <v>1202</v>
      </c>
      <c r="N108" s="98" t="s">
        <v>1203</v>
      </c>
      <c r="O108" s="102" t="s">
        <v>950</v>
      </c>
    </row>
    <row r="109" spans="1:15" ht="70.05" customHeight="1" x14ac:dyDescent="0.3">
      <c r="A109" s="103">
        <v>108</v>
      </c>
      <c r="B109" s="104"/>
      <c r="C109" s="105"/>
      <c r="D109" s="106" t="s">
        <v>1028</v>
      </c>
      <c r="E109" s="107" t="s">
        <v>1204</v>
      </c>
      <c r="F109" s="106" t="s">
        <v>1205</v>
      </c>
      <c r="G109" s="108" t="s">
        <v>1206</v>
      </c>
      <c r="H109" s="106" t="s">
        <v>1207</v>
      </c>
      <c r="I109" s="106" t="s">
        <v>1208</v>
      </c>
      <c r="J109" s="106" t="s">
        <v>1209</v>
      </c>
      <c r="K109" s="106" t="s">
        <v>1210</v>
      </c>
      <c r="L109" s="109" t="s">
        <v>136</v>
      </c>
      <c r="M109" s="106" t="s">
        <v>1211</v>
      </c>
      <c r="N109" s="106" t="s">
        <v>1212</v>
      </c>
      <c r="O109" s="110" t="s">
        <v>255</v>
      </c>
    </row>
    <row r="110" spans="1:15" ht="70.05" customHeight="1" x14ac:dyDescent="0.3">
      <c r="A110" s="95">
        <v>109</v>
      </c>
      <c r="B110" s="104"/>
      <c r="C110" s="105"/>
      <c r="D110" s="98" t="s">
        <v>1028</v>
      </c>
      <c r="E110" s="99" t="s">
        <v>1213</v>
      </c>
      <c r="F110" s="98" t="s">
        <v>1214</v>
      </c>
      <c r="G110" s="100" t="s">
        <v>1215</v>
      </c>
      <c r="H110" s="98" t="s">
        <v>1216</v>
      </c>
      <c r="I110" s="98" t="s">
        <v>1217</v>
      </c>
      <c r="J110" s="98" t="s">
        <v>1218</v>
      </c>
      <c r="K110" s="98" t="s">
        <v>1219</v>
      </c>
      <c r="L110" s="101" t="s">
        <v>136</v>
      </c>
      <c r="M110" s="98" t="s">
        <v>1211</v>
      </c>
      <c r="N110" s="98" t="s">
        <v>1212</v>
      </c>
      <c r="O110" s="102" t="s">
        <v>255</v>
      </c>
    </row>
    <row r="111" spans="1:15" ht="70.05" customHeight="1" x14ac:dyDescent="0.3">
      <c r="A111" s="103">
        <v>110</v>
      </c>
      <c r="B111" s="104"/>
      <c r="C111" s="114" t="s">
        <v>1220</v>
      </c>
      <c r="D111" s="106" t="s">
        <v>997</v>
      </c>
      <c r="E111" s="107" t="s">
        <v>1221</v>
      </c>
      <c r="F111" s="106" t="s">
        <v>1222</v>
      </c>
      <c r="G111" s="108" t="s">
        <v>1223</v>
      </c>
      <c r="H111" s="106" t="s">
        <v>1224</v>
      </c>
      <c r="I111" s="106" t="s">
        <v>1225</v>
      </c>
      <c r="J111" s="106" t="s">
        <v>1226</v>
      </c>
      <c r="K111" s="106" t="s">
        <v>1227</v>
      </c>
      <c r="L111" s="109" t="s">
        <v>136</v>
      </c>
      <c r="M111" s="106" t="s">
        <v>1005</v>
      </c>
      <c r="N111" s="106" t="s">
        <v>1228</v>
      </c>
      <c r="O111" s="110" t="s">
        <v>245</v>
      </c>
    </row>
    <row r="112" spans="1:15" ht="70.05" customHeight="1" x14ac:dyDescent="0.3">
      <c r="A112" s="95">
        <v>111</v>
      </c>
      <c r="B112" s="104"/>
      <c r="C112" s="105"/>
      <c r="D112" s="98" t="s">
        <v>997</v>
      </c>
      <c r="E112" s="99" t="s">
        <v>1229</v>
      </c>
      <c r="F112" s="98" t="s">
        <v>1230</v>
      </c>
      <c r="G112" s="100" t="s">
        <v>1231</v>
      </c>
      <c r="H112" s="98" t="s">
        <v>1232</v>
      </c>
      <c r="I112" s="98" t="s">
        <v>1233</v>
      </c>
      <c r="J112" s="98" t="s">
        <v>1234</v>
      </c>
      <c r="K112" s="98" t="s">
        <v>1235</v>
      </c>
      <c r="L112" s="115" t="s">
        <v>242</v>
      </c>
      <c r="M112" s="98" t="s">
        <v>1236</v>
      </c>
      <c r="N112" s="98" t="s">
        <v>1237</v>
      </c>
      <c r="O112" s="102" t="s">
        <v>1079</v>
      </c>
    </row>
    <row r="113" spans="1:15" ht="70.05" customHeight="1" x14ac:dyDescent="0.3">
      <c r="A113" s="103">
        <v>112</v>
      </c>
      <c r="B113" s="122" t="s">
        <v>19</v>
      </c>
      <c r="C113" s="118" t="s">
        <v>1238</v>
      </c>
      <c r="D113" s="106" t="s">
        <v>1239</v>
      </c>
      <c r="E113" s="107" t="s">
        <v>1240</v>
      </c>
      <c r="F113" s="106" t="s">
        <v>1241</v>
      </c>
      <c r="G113" s="108" t="s">
        <v>1242</v>
      </c>
      <c r="H113" s="106" t="s">
        <v>1243</v>
      </c>
      <c r="I113" s="106" t="s">
        <v>1244</v>
      </c>
      <c r="J113" s="106" t="s">
        <v>1245</v>
      </c>
      <c r="K113" s="106" t="s">
        <v>1246</v>
      </c>
      <c r="L113" s="109" t="s">
        <v>136</v>
      </c>
      <c r="M113" s="106" t="s">
        <v>1247</v>
      </c>
      <c r="N113" s="106" t="s">
        <v>1248</v>
      </c>
      <c r="O113" s="110" t="s">
        <v>1249</v>
      </c>
    </row>
    <row r="114" spans="1:15" ht="70.05" customHeight="1" x14ac:dyDescent="0.3">
      <c r="A114" s="95">
        <v>113</v>
      </c>
      <c r="B114" s="121" t="s">
        <v>995</v>
      </c>
      <c r="C114" s="97" t="s">
        <v>1250</v>
      </c>
      <c r="D114" s="98" t="s">
        <v>1028</v>
      </c>
      <c r="E114" s="99" t="s">
        <v>1251</v>
      </c>
      <c r="F114" s="98" t="s">
        <v>1252</v>
      </c>
      <c r="G114" s="100" t="s">
        <v>1253</v>
      </c>
      <c r="H114" s="98" t="s">
        <v>1254</v>
      </c>
      <c r="I114" s="98" t="s">
        <v>1255</v>
      </c>
      <c r="J114" s="98" t="s">
        <v>1256</v>
      </c>
      <c r="K114" s="98" t="s">
        <v>1257</v>
      </c>
      <c r="L114" s="115" t="s">
        <v>242</v>
      </c>
      <c r="M114" s="98" t="s">
        <v>1258</v>
      </c>
      <c r="N114" s="98" t="s">
        <v>1259</v>
      </c>
      <c r="O114" s="102" t="s">
        <v>1260</v>
      </c>
    </row>
    <row r="115" spans="1:15" ht="70.05" customHeight="1" x14ac:dyDescent="0.3">
      <c r="A115" s="103">
        <v>114</v>
      </c>
      <c r="B115" s="104"/>
      <c r="C115" s="105"/>
      <c r="D115" s="106" t="s">
        <v>1028</v>
      </c>
      <c r="E115" s="107" t="s">
        <v>1261</v>
      </c>
      <c r="F115" s="106" t="s">
        <v>1262</v>
      </c>
      <c r="G115" s="108" t="s">
        <v>1263</v>
      </c>
      <c r="H115" s="106" t="s">
        <v>1264</v>
      </c>
      <c r="I115" s="106" t="s">
        <v>1265</v>
      </c>
      <c r="J115" s="106" t="s">
        <v>1266</v>
      </c>
      <c r="K115" s="106" t="s">
        <v>1267</v>
      </c>
      <c r="L115" s="109" t="s">
        <v>136</v>
      </c>
      <c r="M115" s="106" t="s">
        <v>770</v>
      </c>
      <c r="N115" s="106" t="s">
        <v>1268</v>
      </c>
      <c r="O115" s="110" t="s">
        <v>1269</v>
      </c>
    </row>
    <row r="116" spans="1:15" ht="70.05" customHeight="1" x14ac:dyDescent="0.3">
      <c r="A116" s="95">
        <v>115</v>
      </c>
      <c r="B116" s="104"/>
      <c r="C116" s="105"/>
      <c r="D116" s="98" t="s">
        <v>1028</v>
      </c>
      <c r="E116" s="99" t="s">
        <v>1270</v>
      </c>
      <c r="F116" s="98" t="s">
        <v>1271</v>
      </c>
      <c r="G116" s="100" t="s">
        <v>1272</v>
      </c>
      <c r="H116" s="98" t="s">
        <v>1273</v>
      </c>
      <c r="I116" s="98" t="s">
        <v>1274</v>
      </c>
      <c r="J116" s="98" t="s">
        <v>1275</v>
      </c>
      <c r="K116" s="98" t="s">
        <v>1276</v>
      </c>
      <c r="L116" s="115" t="s">
        <v>242</v>
      </c>
      <c r="M116" s="98" t="s">
        <v>243</v>
      </c>
      <c r="N116" s="98" t="s">
        <v>1277</v>
      </c>
      <c r="O116" s="102" t="s">
        <v>1278</v>
      </c>
    </row>
    <row r="117" spans="1:15" ht="70.05" customHeight="1" x14ac:dyDescent="0.3">
      <c r="A117" s="103">
        <v>116</v>
      </c>
      <c r="B117" s="104"/>
      <c r="C117" s="105"/>
      <c r="D117" s="106" t="s">
        <v>1028</v>
      </c>
      <c r="E117" s="107" t="s">
        <v>1279</v>
      </c>
      <c r="F117" s="106" t="s">
        <v>1280</v>
      </c>
      <c r="G117" s="108" t="s">
        <v>1281</v>
      </c>
      <c r="H117" s="106" t="s">
        <v>1282</v>
      </c>
      <c r="I117" s="106" t="s">
        <v>1283</v>
      </c>
      <c r="J117" s="106" t="s">
        <v>1284</v>
      </c>
      <c r="K117" s="106" t="s">
        <v>1285</v>
      </c>
      <c r="L117" s="109" t="s">
        <v>136</v>
      </c>
      <c r="M117" s="106" t="s">
        <v>243</v>
      </c>
      <c r="N117" s="106" t="s">
        <v>1286</v>
      </c>
      <c r="O117" s="110" t="s">
        <v>1287</v>
      </c>
    </row>
    <row r="118" spans="1:15" ht="70.05" customHeight="1" x14ac:dyDescent="0.3">
      <c r="A118" s="95">
        <v>117</v>
      </c>
      <c r="B118" s="121" t="s">
        <v>19</v>
      </c>
      <c r="C118" s="97" t="s">
        <v>1288</v>
      </c>
      <c r="D118" s="98" t="s">
        <v>1289</v>
      </c>
      <c r="E118" s="99" t="s">
        <v>1290</v>
      </c>
      <c r="F118" s="98" t="s">
        <v>1291</v>
      </c>
      <c r="G118" s="100" t="s">
        <v>1292</v>
      </c>
      <c r="H118" s="98" t="s">
        <v>1293</v>
      </c>
      <c r="I118" s="98" t="s">
        <v>1294</v>
      </c>
      <c r="J118" s="98" t="s">
        <v>1295</v>
      </c>
      <c r="K118" s="98" t="s">
        <v>1296</v>
      </c>
      <c r="L118" s="111" t="s">
        <v>115</v>
      </c>
      <c r="M118" s="98" t="s">
        <v>1297</v>
      </c>
      <c r="N118" s="98" t="s">
        <v>1298</v>
      </c>
      <c r="O118" s="102" t="s">
        <v>1108</v>
      </c>
    </row>
    <row r="119" spans="1:15" ht="70.05" customHeight="1" x14ac:dyDescent="0.3">
      <c r="A119" s="103">
        <v>118</v>
      </c>
      <c r="B119" s="104"/>
      <c r="C119" s="105"/>
      <c r="D119" s="106" t="s">
        <v>1289</v>
      </c>
      <c r="E119" s="107" t="s">
        <v>1299</v>
      </c>
      <c r="F119" s="106" t="s">
        <v>1300</v>
      </c>
      <c r="G119" s="108" t="s">
        <v>1301</v>
      </c>
      <c r="H119" s="106" t="s">
        <v>1302</v>
      </c>
      <c r="I119" s="106" t="s">
        <v>1303</v>
      </c>
      <c r="J119" s="106" t="s">
        <v>1304</v>
      </c>
      <c r="K119" s="106" t="s">
        <v>1305</v>
      </c>
      <c r="L119" s="113" t="s">
        <v>115</v>
      </c>
      <c r="M119" s="106" t="s">
        <v>1297</v>
      </c>
      <c r="N119" s="106" t="s">
        <v>1306</v>
      </c>
      <c r="O119" s="110" t="s">
        <v>350</v>
      </c>
    </row>
    <row r="120" spans="1:15" ht="70.05" customHeight="1" x14ac:dyDescent="0.3">
      <c r="A120" s="95">
        <v>119</v>
      </c>
      <c r="B120" s="104"/>
      <c r="C120" s="105"/>
      <c r="D120" s="98" t="s">
        <v>1289</v>
      </c>
      <c r="E120" s="99" t="s">
        <v>1307</v>
      </c>
      <c r="F120" s="98" t="s">
        <v>1308</v>
      </c>
      <c r="G120" s="100" t="s">
        <v>1309</v>
      </c>
      <c r="H120" s="98" t="s">
        <v>1310</v>
      </c>
      <c r="I120" s="98" t="s">
        <v>1311</v>
      </c>
      <c r="J120" s="98" t="s">
        <v>1312</v>
      </c>
      <c r="K120" s="98" t="s">
        <v>1313</v>
      </c>
      <c r="L120" s="101" t="s">
        <v>136</v>
      </c>
      <c r="M120" s="98" t="s">
        <v>1314</v>
      </c>
      <c r="N120" s="98" t="s">
        <v>1315</v>
      </c>
      <c r="O120" s="102" t="s">
        <v>1108</v>
      </c>
    </row>
    <row r="121" spans="1:15" ht="70.05" customHeight="1" x14ac:dyDescent="0.3">
      <c r="A121" s="103">
        <v>120</v>
      </c>
      <c r="B121" s="104"/>
      <c r="C121" s="114" t="s">
        <v>1316</v>
      </c>
      <c r="D121" s="106" t="s">
        <v>1289</v>
      </c>
      <c r="E121" s="107" t="s">
        <v>1317</v>
      </c>
      <c r="F121" s="106" t="s">
        <v>1318</v>
      </c>
      <c r="G121" s="108" t="s">
        <v>1319</v>
      </c>
      <c r="H121" s="106" t="s">
        <v>1320</v>
      </c>
      <c r="I121" s="106" t="s">
        <v>1321</v>
      </c>
      <c r="J121" s="106" t="s">
        <v>1322</v>
      </c>
      <c r="K121" s="106" t="s">
        <v>1323</v>
      </c>
      <c r="L121" s="113" t="s">
        <v>115</v>
      </c>
      <c r="M121" s="106" t="s">
        <v>1324</v>
      </c>
      <c r="N121" s="106" t="s">
        <v>1325</v>
      </c>
      <c r="O121" s="110" t="s">
        <v>1249</v>
      </c>
    </row>
    <row r="122" spans="1:15" ht="70.05" customHeight="1" x14ac:dyDescent="0.3">
      <c r="A122" s="95">
        <v>121</v>
      </c>
      <c r="B122" s="104"/>
      <c r="C122" s="105"/>
      <c r="D122" s="98" t="s">
        <v>1326</v>
      </c>
      <c r="E122" s="99" t="s">
        <v>1327</v>
      </c>
      <c r="F122" s="98" t="s">
        <v>1328</v>
      </c>
      <c r="G122" s="100" t="s">
        <v>1329</v>
      </c>
      <c r="H122" s="98" t="s">
        <v>1330</v>
      </c>
      <c r="I122" s="98" t="s">
        <v>1331</v>
      </c>
      <c r="J122" s="98" t="s">
        <v>1332</v>
      </c>
      <c r="K122" s="98" t="s">
        <v>1333</v>
      </c>
      <c r="L122" s="101" t="s">
        <v>136</v>
      </c>
      <c r="M122" s="98" t="s">
        <v>1334</v>
      </c>
      <c r="N122" s="98" t="s">
        <v>1335</v>
      </c>
      <c r="O122" s="102" t="s">
        <v>1249</v>
      </c>
    </row>
    <row r="123" spans="1:15" ht="70.05" customHeight="1" x14ac:dyDescent="0.3">
      <c r="A123" s="103">
        <v>122</v>
      </c>
      <c r="B123" s="121" t="s">
        <v>995</v>
      </c>
      <c r="C123" s="114" t="s">
        <v>1336</v>
      </c>
      <c r="D123" s="106" t="s">
        <v>997</v>
      </c>
      <c r="E123" s="107" t="s">
        <v>1337</v>
      </c>
      <c r="F123" s="106" t="s">
        <v>1338</v>
      </c>
      <c r="G123" s="108" t="s">
        <v>1339</v>
      </c>
      <c r="H123" s="106" t="s">
        <v>1340</v>
      </c>
      <c r="I123" s="106" t="s">
        <v>1341</v>
      </c>
      <c r="J123" s="106" t="s">
        <v>1342</v>
      </c>
      <c r="K123" s="106" t="s">
        <v>1343</v>
      </c>
      <c r="L123" s="109" t="s">
        <v>136</v>
      </c>
      <c r="M123" s="106" t="s">
        <v>1344</v>
      </c>
      <c r="N123" s="106" t="s">
        <v>1345</v>
      </c>
      <c r="O123" s="110" t="s">
        <v>1269</v>
      </c>
    </row>
    <row r="124" spans="1:15" ht="70.05" customHeight="1" x14ac:dyDescent="0.3">
      <c r="A124" s="95">
        <v>123</v>
      </c>
      <c r="B124" s="104"/>
      <c r="C124" s="105"/>
      <c r="D124" s="98" t="s">
        <v>997</v>
      </c>
      <c r="E124" s="99" t="s">
        <v>1346</v>
      </c>
      <c r="F124" s="98" t="s">
        <v>1347</v>
      </c>
      <c r="G124" s="100" t="s">
        <v>1348</v>
      </c>
      <c r="H124" s="98" t="s">
        <v>1349</v>
      </c>
      <c r="I124" s="98" t="s">
        <v>1350</v>
      </c>
      <c r="J124" s="98" t="s">
        <v>1351</v>
      </c>
      <c r="K124" s="98" t="s">
        <v>1352</v>
      </c>
      <c r="L124" s="115" t="s">
        <v>242</v>
      </c>
      <c r="M124" s="98" t="s">
        <v>1344</v>
      </c>
      <c r="N124" s="98" t="s">
        <v>1353</v>
      </c>
      <c r="O124" s="102" t="s">
        <v>1269</v>
      </c>
    </row>
    <row r="125" spans="1:15" ht="70.05" customHeight="1" x14ac:dyDescent="0.3">
      <c r="A125" s="103">
        <v>124</v>
      </c>
      <c r="B125" s="121" t="s">
        <v>19</v>
      </c>
      <c r="C125" s="118" t="s">
        <v>1354</v>
      </c>
      <c r="D125" s="106" t="s">
        <v>1289</v>
      </c>
      <c r="E125" s="129" t="s">
        <v>235</v>
      </c>
      <c r="F125" s="106" t="s">
        <v>1355</v>
      </c>
      <c r="G125" s="108" t="s">
        <v>1356</v>
      </c>
      <c r="H125" s="106" t="s">
        <v>1357</v>
      </c>
      <c r="I125" s="106" t="s">
        <v>1358</v>
      </c>
      <c r="J125" s="106" t="s">
        <v>1359</v>
      </c>
      <c r="K125" s="106" t="s">
        <v>1360</v>
      </c>
      <c r="L125" s="112" t="s">
        <v>242</v>
      </c>
      <c r="M125" s="106" t="s">
        <v>1361</v>
      </c>
      <c r="N125" s="106" t="s">
        <v>1362</v>
      </c>
      <c r="O125" s="110" t="s">
        <v>1007</v>
      </c>
    </row>
    <row r="126" spans="1:15" ht="70.05" customHeight="1" x14ac:dyDescent="0.3">
      <c r="A126" s="95">
        <v>125</v>
      </c>
      <c r="B126" s="104"/>
      <c r="C126" s="97" t="s">
        <v>1363</v>
      </c>
      <c r="D126" s="98" t="s">
        <v>1364</v>
      </c>
      <c r="E126" s="128" t="s">
        <v>1195</v>
      </c>
      <c r="F126" s="98" t="s">
        <v>1365</v>
      </c>
      <c r="G126" s="100" t="s">
        <v>1366</v>
      </c>
      <c r="H126" s="98" t="s">
        <v>1367</v>
      </c>
      <c r="I126" s="98" t="s">
        <v>1368</v>
      </c>
      <c r="J126" s="98" t="s">
        <v>1369</v>
      </c>
      <c r="K126" s="98" t="s">
        <v>1370</v>
      </c>
      <c r="L126" s="111" t="s">
        <v>115</v>
      </c>
      <c r="M126" s="98" t="s">
        <v>1371</v>
      </c>
      <c r="N126" s="98" t="s">
        <v>1372</v>
      </c>
      <c r="O126" s="102" t="s">
        <v>1373</v>
      </c>
    </row>
    <row r="127" spans="1:15" ht="70.05" customHeight="1" x14ac:dyDescent="0.3">
      <c r="A127" s="103">
        <v>126</v>
      </c>
      <c r="B127" s="104"/>
      <c r="C127" s="105"/>
      <c r="D127" s="106" t="s">
        <v>1326</v>
      </c>
      <c r="E127" s="107" t="s">
        <v>1374</v>
      </c>
      <c r="F127" s="106" t="s">
        <v>1375</v>
      </c>
      <c r="G127" s="108" t="s">
        <v>1376</v>
      </c>
      <c r="H127" s="106" t="s">
        <v>1377</v>
      </c>
      <c r="I127" s="106" t="s">
        <v>1378</v>
      </c>
      <c r="J127" s="106" t="s">
        <v>1379</v>
      </c>
      <c r="K127" s="106" t="s">
        <v>1380</v>
      </c>
      <c r="L127" s="113" t="s">
        <v>115</v>
      </c>
      <c r="M127" s="106" t="s">
        <v>1381</v>
      </c>
      <c r="N127" s="106" t="s">
        <v>1382</v>
      </c>
      <c r="O127" s="110" t="s">
        <v>1383</v>
      </c>
    </row>
    <row r="128" spans="1:15" ht="70.05" customHeight="1" x14ac:dyDescent="0.3">
      <c r="A128" s="95">
        <v>127</v>
      </c>
      <c r="B128" s="104"/>
      <c r="C128" s="105"/>
      <c r="D128" s="98" t="s">
        <v>1239</v>
      </c>
      <c r="E128" s="99" t="s">
        <v>1384</v>
      </c>
      <c r="F128" s="98" t="s">
        <v>1385</v>
      </c>
      <c r="G128" s="100" t="s">
        <v>1386</v>
      </c>
      <c r="H128" s="98" t="s">
        <v>1387</v>
      </c>
      <c r="I128" s="98" t="s">
        <v>1388</v>
      </c>
      <c r="J128" s="98" t="s">
        <v>1389</v>
      </c>
      <c r="K128" s="98" t="s">
        <v>1390</v>
      </c>
      <c r="L128" s="101" t="s">
        <v>136</v>
      </c>
      <c r="M128" s="98" t="s">
        <v>1391</v>
      </c>
      <c r="N128" s="98" t="s">
        <v>1392</v>
      </c>
      <c r="O128" s="102" t="s">
        <v>1287</v>
      </c>
    </row>
    <row r="129" spans="1:15" ht="70.05" customHeight="1" x14ac:dyDescent="0.3">
      <c r="A129" s="103">
        <v>128</v>
      </c>
      <c r="B129" s="104"/>
      <c r="C129" s="105"/>
      <c r="D129" s="106" t="s">
        <v>1326</v>
      </c>
      <c r="E129" s="107" t="s">
        <v>1393</v>
      </c>
      <c r="F129" s="106" t="s">
        <v>1394</v>
      </c>
      <c r="G129" s="108" t="s">
        <v>1395</v>
      </c>
      <c r="H129" s="106" t="s">
        <v>1396</v>
      </c>
      <c r="I129" s="106" t="s">
        <v>1397</v>
      </c>
      <c r="J129" s="106" t="s">
        <v>1398</v>
      </c>
      <c r="K129" s="106" t="s">
        <v>1399</v>
      </c>
      <c r="L129" s="109" t="s">
        <v>136</v>
      </c>
      <c r="M129" s="106" t="s">
        <v>1400</v>
      </c>
      <c r="N129" s="106" t="s">
        <v>1401</v>
      </c>
      <c r="O129" s="110" t="s">
        <v>1402</v>
      </c>
    </row>
    <row r="130" spans="1:15" ht="70.05" customHeight="1" x14ac:dyDescent="0.3">
      <c r="A130" s="95">
        <v>129</v>
      </c>
      <c r="B130" s="123" t="s">
        <v>1403</v>
      </c>
      <c r="C130" s="97" t="s">
        <v>1404</v>
      </c>
      <c r="D130" s="98" t="s">
        <v>1405</v>
      </c>
      <c r="E130" s="128" t="s">
        <v>1406</v>
      </c>
      <c r="F130" s="98" t="s">
        <v>1407</v>
      </c>
      <c r="G130" s="100" t="s">
        <v>1408</v>
      </c>
      <c r="H130" s="98" t="s">
        <v>1409</v>
      </c>
      <c r="I130" s="98" t="s">
        <v>1410</v>
      </c>
      <c r="J130" s="98" t="s">
        <v>1411</v>
      </c>
      <c r="K130" s="98" t="s">
        <v>1412</v>
      </c>
      <c r="L130" s="111" t="s">
        <v>115</v>
      </c>
      <c r="M130" s="98" t="s">
        <v>1413</v>
      </c>
      <c r="N130" s="98" t="s">
        <v>1414</v>
      </c>
      <c r="O130" s="102" t="s">
        <v>1415</v>
      </c>
    </row>
    <row r="131" spans="1:15" ht="70.05" customHeight="1" x14ac:dyDescent="0.3">
      <c r="A131" s="103">
        <v>130</v>
      </c>
      <c r="B131" s="104"/>
      <c r="C131" s="105"/>
      <c r="D131" s="106" t="s">
        <v>1405</v>
      </c>
      <c r="E131" s="107" t="s">
        <v>1416</v>
      </c>
      <c r="F131" s="106" t="s">
        <v>1417</v>
      </c>
      <c r="G131" s="108" t="s">
        <v>1418</v>
      </c>
      <c r="H131" s="106" t="s">
        <v>1419</v>
      </c>
      <c r="I131" s="106" t="s">
        <v>1420</v>
      </c>
      <c r="J131" s="106" t="s">
        <v>1421</v>
      </c>
      <c r="K131" s="106" t="s">
        <v>1422</v>
      </c>
      <c r="L131" s="113" t="s">
        <v>115</v>
      </c>
      <c r="M131" s="106" t="s">
        <v>1423</v>
      </c>
      <c r="N131" s="106" t="s">
        <v>1424</v>
      </c>
      <c r="O131" s="110" t="s">
        <v>1425</v>
      </c>
    </row>
    <row r="132" spans="1:15" ht="70.05" customHeight="1" x14ac:dyDescent="0.3">
      <c r="A132" s="95">
        <v>131</v>
      </c>
      <c r="B132" s="104"/>
      <c r="C132" s="105"/>
      <c r="D132" s="98" t="s">
        <v>1405</v>
      </c>
      <c r="E132" s="99" t="s">
        <v>1426</v>
      </c>
      <c r="F132" s="98" t="s">
        <v>1427</v>
      </c>
      <c r="G132" s="100" t="s">
        <v>1428</v>
      </c>
      <c r="H132" s="98" t="s">
        <v>1429</v>
      </c>
      <c r="I132" s="98" t="s">
        <v>1430</v>
      </c>
      <c r="J132" s="98" t="s">
        <v>1431</v>
      </c>
      <c r="K132" s="98" t="s">
        <v>1432</v>
      </c>
      <c r="L132" s="111" t="s">
        <v>115</v>
      </c>
      <c r="M132" s="98" t="s">
        <v>1433</v>
      </c>
      <c r="N132" s="98" t="s">
        <v>1434</v>
      </c>
      <c r="O132" s="102" t="s">
        <v>1128</v>
      </c>
    </row>
    <row r="133" spans="1:15" ht="70.05" customHeight="1" x14ac:dyDescent="0.3">
      <c r="A133" s="103">
        <v>132</v>
      </c>
      <c r="B133" s="104"/>
      <c r="C133" s="105"/>
      <c r="D133" s="106" t="s">
        <v>1405</v>
      </c>
      <c r="E133" s="107" t="s">
        <v>1435</v>
      </c>
      <c r="F133" s="106" t="s">
        <v>1436</v>
      </c>
      <c r="G133" s="108" t="s">
        <v>1437</v>
      </c>
      <c r="H133" s="106" t="s">
        <v>1438</v>
      </c>
      <c r="I133" s="106" t="s">
        <v>1439</v>
      </c>
      <c r="J133" s="106" t="s">
        <v>1440</v>
      </c>
      <c r="K133" s="106" t="s">
        <v>1441</v>
      </c>
      <c r="L133" s="109" t="s">
        <v>136</v>
      </c>
      <c r="M133" s="106" t="s">
        <v>1442</v>
      </c>
      <c r="N133" s="106" t="s">
        <v>1443</v>
      </c>
      <c r="O133" s="110" t="s">
        <v>1128</v>
      </c>
    </row>
    <row r="134" spans="1:15" ht="70.05" customHeight="1" x14ac:dyDescent="0.3">
      <c r="A134" s="95">
        <v>133</v>
      </c>
      <c r="B134" s="104"/>
      <c r="C134" s="119" t="s">
        <v>1444</v>
      </c>
      <c r="D134" s="98" t="s">
        <v>1405</v>
      </c>
      <c r="E134" s="99" t="s">
        <v>1445</v>
      </c>
      <c r="F134" s="98" t="s">
        <v>1446</v>
      </c>
      <c r="G134" s="100" t="s">
        <v>1447</v>
      </c>
      <c r="H134" s="98" t="s">
        <v>1448</v>
      </c>
      <c r="I134" s="98" t="s">
        <v>1449</v>
      </c>
      <c r="J134" s="98" t="s">
        <v>1450</v>
      </c>
      <c r="K134" s="98" t="s">
        <v>1451</v>
      </c>
      <c r="L134" s="101" t="s">
        <v>136</v>
      </c>
      <c r="M134" s="98" t="s">
        <v>1452</v>
      </c>
      <c r="N134" s="98" t="s">
        <v>1453</v>
      </c>
      <c r="O134" s="102" t="s">
        <v>1454</v>
      </c>
    </row>
    <row r="135" spans="1:15" ht="70.05" customHeight="1" x14ac:dyDescent="0.3">
      <c r="A135" s="103">
        <v>134</v>
      </c>
      <c r="B135" s="104"/>
      <c r="C135" s="114" t="s">
        <v>1455</v>
      </c>
      <c r="D135" s="106" t="s">
        <v>1405</v>
      </c>
      <c r="E135" s="107" t="s">
        <v>1456</v>
      </c>
      <c r="F135" s="106" t="s">
        <v>1457</v>
      </c>
      <c r="G135" s="108" t="s">
        <v>1458</v>
      </c>
      <c r="H135" s="106" t="s">
        <v>1459</v>
      </c>
      <c r="I135" s="106" t="s">
        <v>1460</v>
      </c>
      <c r="J135" s="106" t="s">
        <v>1461</v>
      </c>
      <c r="K135" s="106" t="s">
        <v>1462</v>
      </c>
      <c r="L135" s="109" t="s">
        <v>136</v>
      </c>
      <c r="M135" s="106" t="s">
        <v>1413</v>
      </c>
      <c r="N135" s="106" t="s">
        <v>1463</v>
      </c>
      <c r="O135" s="110" t="s">
        <v>1128</v>
      </c>
    </row>
    <row r="136" spans="1:15" ht="70.05" customHeight="1" x14ac:dyDescent="0.3">
      <c r="A136" s="95">
        <v>135</v>
      </c>
      <c r="B136" s="104"/>
      <c r="C136" s="105"/>
      <c r="D136" s="98" t="s">
        <v>1405</v>
      </c>
      <c r="E136" s="99" t="s">
        <v>1464</v>
      </c>
      <c r="F136" s="98" t="s">
        <v>1465</v>
      </c>
      <c r="G136" s="100" t="s">
        <v>1466</v>
      </c>
      <c r="H136" s="98" t="s">
        <v>1467</v>
      </c>
      <c r="I136" s="98" t="s">
        <v>1468</v>
      </c>
      <c r="J136" s="98" t="s">
        <v>1469</v>
      </c>
      <c r="K136" s="98" t="s">
        <v>1470</v>
      </c>
      <c r="L136" s="111" t="s">
        <v>115</v>
      </c>
      <c r="M136" s="98" t="s">
        <v>1471</v>
      </c>
      <c r="N136" s="98" t="s">
        <v>1414</v>
      </c>
      <c r="O136" s="102" t="s">
        <v>1425</v>
      </c>
    </row>
    <row r="137" spans="1:15" ht="70.05" customHeight="1" x14ac:dyDescent="0.3">
      <c r="A137" s="103">
        <v>136</v>
      </c>
      <c r="B137" s="104"/>
      <c r="C137" s="105"/>
      <c r="D137" s="106" t="s">
        <v>1405</v>
      </c>
      <c r="E137" s="107" t="s">
        <v>1472</v>
      </c>
      <c r="F137" s="106" t="s">
        <v>1473</v>
      </c>
      <c r="G137" s="108" t="s">
        <v>1474</v>
      </c>
      <c r="H137" s="106" t="s">
        <v>1475</v>
      </c>
      <c r="I137" s="106" t="s">
        <v>1476</v>
      </c>
      <c r="J137" s="106" t="s">
        <v>1477</v>
      </c>
      <c r="K137" s="106" t="s">
        <v>1478</v>
      </c>
      <c r="L137" s="113" t="s">
        <v>115</v>
      </c>
      <c r="M137" s="106" t="s">
        <v>1479</v>
      </c>
      <c r="N137" s="106" t="s">
        <v>1480</v>
      </c>
      <c r="O137" s="110" t="s">
        <v>1481</v>
      </c>
    </row>
    <row r="138" spans="1:15" ht="70.05" customHeight="1" x14ac:dyDescent="0.3">
      <c r="A138" s="95">
        <v>137</v>
      </c>
      <c r="B138" s="104"/>
      <c r="C138" s="105"/>
      <c r="D138" s="98" t="s">
        <v>1405</v>
      </c>
      <c r="E138" s="99" t="s">
        <v>1482</v>
      </c>
      <c r="F138" s="98" t="s">
        <v>1483</v>
      </c>
      <c r="G138" s="100" t="s">
        <v>1484</v>
      </c>
      <c r="H138" s="98" t="s">
        <v>1485</v>
      </c>
      <c r="I138" s="98" t="s">
        <v>1486</v>
      </c>
      <c r="J138" s="98" t="s">
        <v>1487</v>
      </c>
      <c r="K138" s="98" t="s">
        <v>1488</v>
      </c>
      <c r="L138" s="111" t="s">
        <v>115</v>
      </c>
      <c r="M138" s="98" t="s">
        <v>1489</v>
      </c>
      <c r="N138" s="98" t="s">
        <v>1490</v>
      </c>
      <c r="O138" s="102" t="s">
        <v>1425</v>
      </c>
    </row>
    <row r="139" spans="1:15" ht="70.05" customHeight="1" x14ac:dyDescent="0.3">
      <c r="A139" s="103">
        <v>138</v>
      </c>
      <c r="B139" s="104"/>
      <c r="C139" s="105"/>
      <c r="D139" s="106" t="s">
        <v>1405</v>
      </c>
      <c r="E139" s="107" t="s">
        <v>1491</v>
      </c>
      <c r="F139" s="106" t="s">
        <v>1492</v>
      </c>
      <c r="G139" s="108" t="s">
        <v>1493</v>
      </c>
      <c r="H139" s="106" t="s">
        <v>1494</v>
      </c>
      <c r="I139" s="106" t="s">
        <v>1495</v>
      </c>
      <c r="J139" s="106" t="s">
        <v>1496</v>
      </c>
      <c r="K139" s="106" t="s">
        <v>1497</v>
      </c>
      <c r="L139" s="109" t="s">
        <v>136</v>
      </c>
      <c r="M139" s="106" t="s">
        <v>1498</v>
      </c>
      <c r="N139" s="106" t="s">
        <v>1414</v>
      </c>
      <c r="O139" s="110" t="s">
        <v>1425</v>
      </c>
    </row>
    <row r="140" spans="1:15" ht="70.05" customHeight="1" x14ac:dyDescent="0.3">
      <c r="A140" s="95">
        <v>139</v>
      </c>
      <c r="B140" s="104"/>
      <c r="C140" s="105"/>
      <c r="D140" s="98" t="s">
        <v>1405</v>
      </c>
      <c r="E140" s="99" t="s">
        <v>1499</v>
      </c>
      <c r="F140" s="98" t="s">
        <v>1500</v>
      </c>
      <c r="G140" s="100" t="s">
        <v>1501</v>
      </c>
      <c r="H140" s="98" t="s">
        <v>1502</v>
      </c>
      <c r="I140" s="98" t="s">
        <v>1503</v>
      </c>
      <c r="J140" s="98" t="s">
        <v>1504</v>
      </c>
      <c r="K140" s="98" t="s">
        <v>1505</v>
      </c>
      <c r="L140" s="115" t="s">
        <v>242</v>
      </c>
      <c r="M140" s="98" t="s">
        <v>1413</v>
      </c>
      <c r="N140" s="98" t="s">
        <v>1506</v>
      </c>
      <c r="O140" s="102" t="s">
        <v>1507</v>
      </c>
    </row>
    <row r="141" spans="1:15" ht="70.05" customHeight="1" x14ac:dyDescent="0.3">
      <c r="A141" s="103">
        <v>140</v>
      </c>
      <c r="B141" s="104"/>
      <c r="C141" s="105"/>
      <c r="D141" s="106" t="s">
        <v>1405</v>
      </c>
      <c r="E141" s="107" t="s">
        <v>1508</v>
      </c>
      <c r="F141" s="106" t="s">
        <v>1509</v>
      </c>
      <c r="G141" s="108" t="s">
        <v>1510</v>
      </c>
      <c r="H141" s="106" t="s">
        <v>1511</v>
      </c>
      <c r="I141" s="106" t="s">
        <v>1512</v>
      </c>
      <c r="J141" s="106" t="s">
        <v>1513</v>
      </c>
      <c r="K141" s="106" t="s">
        <v>1514</v>
      </c>
      <c r="L141" s="109" t="s">
        <v>136</v>
      </c>
      <c r="M141" s="106" t="s">
        <v>1442</v>
      </c>
      <c r="N141" s="106" t="s">
        <v>1443</v>
      </c>
      <c r="O141" s="110" t="s">
        <v>1515</v>
      </c>
    </row>
    <row r="142" spans="1:15" ht="70.05" customHeight="1" x14ac:dyDescent="0.3">
      <c r="A142" s="95">
        <v>141</v>
      </c>
      <c r="B142" s="104"/>
      <c r="C142" s="105"/>
      <c r="D142" s="98" t="s">
        <v>1405</v>
      </c>
      <c r="E142" s="99" t="s">
        <v>1516</v>
      </c>
      <c r="F142" s="98" t="s">
        <v>1517</v>
      </c>
      <c r="G142" s="100" t="s">
        <v>1518</v>
      </c>
      <c r="H142" s="98" t="s">
        <v>1519</v>
      </c>
      <c r="I142" s="98" t="s">
        <v>1520</v>
      </c>
      <c r="J142" s="98" t="s">
        <v>1521</v>
      </c>
      <c r="K142" s="98" t="s">
        <v>1522</v>
      </c>
      <c r="L142" s="101" t="s">
        <v>136</v>
      </c>
      <c r="M142" s="98" t="s">
        <v>1413</v>
      </c>
      <c r="N142" s="98" t="s">
        <v>1523</v>
      </c>
      <c r="O142" s="102" t="s">
        <v>1128</v>
      </c>
    </row>
    <row r="143" spans="1:15" ht="70.05" customHeight="1" x14ac:dyDescent="0.3">
      <c r="A143" s="103">
        <v>142</v>
      </c>
      <c r="B143" s="124" t="s">
        <v>23</v>
      </c>
      <c r="C143" s="118" t="s">
        <v>1524</v>
      </c>
      <c r="D143" s="106" t="s">
        <v>1525</v>
      </c>
      <c r="E143" s="107" t="s">
        <v>1526</v>
      </c>
      <c r="F143" s="106" t="s">
        <v>1527</v>
      </c>
      <c r="G143" s="108" t="s">
        <v>1528</v>
      </c>
      <c r="H143" s="106" t="s">
        <v>843</v>
      </c>
      <c r="I143" s="106" t="s">
        <v>1529</v>
      </c>
      <c r="J143" s="106" t="s">
        <v>1530</v>
      </c>
      <c r="K143" s="106" t="s">
        <v>1531</v>
      </c>
      <c r="L143" s="109" t="s">
        <v>136</v>
      </c>
      <c r="M143" s="106" t="s">
        <v>1532</v>
      </c>
      <c r="N143" s="106" t="s">
        <v>1533</v>
      </c>
      <c r="O143" s="110" t="s">
        <v>1128</v>
      </c>
    </row>
    <row r="144" spans="1:15" ht="70.05" customHeight="1" x14ac:dyDescent="0.3">
      <c r="A144" s="95">
        <v>143</v>
      </c>
      <c r="B144" s="123" t="s">
        <v>1403</v>
      </c>
      <c r="C144" s="119" t="s">
        <v>1534</v>
      </c>
      <c r="D144" s="98" t="s">
        <v>1405</v>
      </c>
      <c r="E144" s="99" t="s">
        <v>1535</v>
      </c>
      <c r="F144" s="98" t="s">
        <v>1536</v>
      </c>
      <c r="G144" s="100" t="s">
        <v>1537</v>
      </c>
      <c r="H144" s="98" t="s">
        <v>1538</v>
      </c>
      <c r="I144" s="98" t="s">
        <v>1539</v>
      </c>
      <c r="J144" s="98" t="s">
        <v>1540</v>
      </c>
      <c r="K144" s="98" t="s">
        <v>1541</v>
      </c>
      <c r="L144" s="111" t="s">
        <v>115</v>
      </c>
      <c r="M144" s="98" t="s">
        <v>1542</v>
      </c>
      <c r="N144" s="98" t="s">
        <v>1543</v>
      </c>
      <c r="O144" s="102" t="s">
        <v>1544</v>
      </c>
    </row>
    <row r="145" spans="1:15" ht="70.05" customHeight="1" x14ac:dyDescent="0.3">
      <c r="A145" s="103">
        <v>144</v>
      </c>
      <c r="B145" s="104"/>
      <c r="C145" s="114" t="s">
        <v>1545</v>
      </c>
      <c r="D145" s="106" t="s">
        <v>1546</v>
      </c>
      <c r="E145" s="107" t="s">
        <v>1547</v>
      </c>
      <c r="F145" s="106" t="s">
        <v>1548</v>
      </c>
      <c r="G145" s="108" t="s">
        <v>1549</v>
      </c>
      <c r="H145" s="106" t="s">
        <v>1550</v>
      </c>
      <c r="I145" s="106" t="s">
        <v>1551</v>
      </c>
      <c r="J145" s="106" t="s">
        <v>1552</v>
      </c>
      <c r="K145" s="106" t="s">
        <v>1553</v>
      </c>
      <c r="L145" s="113" t="s">
        <v>115</v>
      </c>
      <c r="M145" s="106" t="s">
        <v>1554</v>
      </c>
      <c r="N145" s="106" t="s">
        <v>1555</v>
      </c>
      <c r="O145" s="110" t="s">
        <v>1556</v>
      </c>
    </row>
    <row r="146" spans="1:15" ht="70.05" customHeight="1" x14ac:dyDescent="0.3">
      <c r="A146" s="95">
        <v>145</v>
      </c>
      <c r="B146" s="104"/>
      <c r="C146" s="105"/>
      <c r="D146" s="98" t="s">
        <v>1546</v>
      </c>
      <c r="E146" s="99" t="s">
        <v>1557</v>
      </c>
      <c r="F146" s="98" t="s">
        <v>1558</v>
      </c>
      <c r="G146" s="100" t="s">
        <v>1559</v>
      </c>
      <c r="H146" s="98" t="s">
        <v>1560</v>
      </c>
      <c r="I146" s="98" t="s">
        <v>1561</v>
      </c>
      <c r="J146" s="98" t="s">
        <v>1562</v>
      </c>
      <c r="K146" s="98" t="s">
        <v>1563</v>
      </c>
      <c r="L146" s="101" t="s">
        <v>136</v>
      </c>
      <c r="M146" s="98" t="s">
        <v>1564</v>
      </c>
      <c r="N146" s="98" t="s">
        <v>1565</v>
      </c>
      <c r="O146" s="102" t="s">
        <v>1249</v>
      </c>
    </row>
    <row r="147" spans="1:15" ht="70.05" customHeight="1" x14ac:dyDescent="0.3">
      <c r="A147" s="103">
        <v>146</v>
      </c>
      <c r="B147" s="104"/>
      <c r="C147" s="105"/>
      <c r="D147" s="106" t="s">
        <v>1546</v>
      </c>
      <c r="E147" s="107" t="s">
        <v>1566</v>
      </c>
      <c r="F147" s="106" t="s">
        <v>1567</v>
      </c>
      <c r="G147" s="108" t="s">
        <v>1568</v>
      </c>
      <c r="H147" s="106" t="s">
        <v>1569</v>
      </c>
      <c r="I147" s="106" t="s">
        <v>1570</v>
      </c>
      <c r="J147" s="106" t="s">
        <v>1571</v>
      </c>
      <c r="K147" s="106" t="s">
        <v>1572</v>
      </c>
      <c r="L147" s="113" t="s">
        <v>115</v>
      </c>
      <c r="M147" s="106" t="s">
        <v>1554</v>
      </c>
      <c r="N147" s="106" t="s">
        <v>1573</v>
      </c>
      <c r="O147" s="110" t="s">
        <v>1556</v>
      </c>
    </row>
    <row r="148" spans="1:15" ht="70.05" customHeight="1" x14ac:dyDescent="0.3">
      <c r="A148" s="95">
        <v>147</v>
      </c>
      <c r="B148" s="104"/>
      <c r="C148" s="105"/>
      <c r="D148" s="98" t="s">
        <v>1546</v>
      </c>
      <c r="E148" s="99" t="s">
        <v>1574</v>
      </c>
      <c r="F148" s="98" t="s">
        <v>1575</v>
      </c>
      <c r="G148" s="100" t="s">
        <v>1576</v>
      </c>
      <c r="H148" s="98" t="s">
        <v>1577</v>
      </c>
      <c r="I148" s="98" t="s">
        <v>1578</v>
      </c>
      <c r="J148" s="98" t="s">
        <v>1579</v>
      </c>
      <c r="K148" s="98" t="s">
        <v>1580</v>
      </c>
      <c r="L148" s="111" t="s">
        <v>115</v>
      </c>
      <c r="M148" s="98" t="s">
        <v>1581</v>
      </c>
      <c r="N148" s="98" t="s">
        <v>771</v>
      </c>
      <c r="O148" s="102" t="s">
        <v>1249</v>
      </c>
    </row>
    <row r="149" spans="1:15" ht="70.05" customHeight="1" x14ac:dyDescent="0.3">
      <c r="A149" s="103">
        <v>148</v>
      </c>
      <c r="B149" s="104"/>
      <c r="C149" s="105"/>
      <c r="D149" s="106" t="s">
        <v>1546</v>
      </c>
      <c r="E149" s="107" t="s">
        <v>1582</v>
      </c>
      <c r="F149" s="106" t="s">
        <v>1583</v>
      </c>
      <c r="G149" s="108" t="s">
        <v>1584</v>
      </c>
      <c r="H149" s="106" t="s">
        <v>1585</v>
      </c>
      <c r="I149" s="106" t="s">
        <v>1586</v>
      </c>
      <c r="J149" s="106" t="s">
        <v>1587</v>
      </c>
      <c r="K149" s="106" t="s">
        <v>1588</v>
      </c>
      <c r="L149" s="113" t="s">
        <v>115</v>
      </c>
      <c r="M149" s="106" t="s">
        <v>1589</v>
      </c>
      <c r="N149" s="106" t="s">
        <v>1590</v>
      </c>
      <c r="O149" s="110" t="s">
        <v>1249</v>
      </c>
    </row>
    <row r="150" spans="1:15" ht="70.05" customHeight="1" x14ac:dyDescent="0.3">
      <c r="A150" s="95">
        <v>149</v>
      </c>
      <c r="B150" s="104"/>
      <c r="C150" s="105"/>
      <c r="D150" s="98" t="s">
        <v>1546</v>
      </c>
      <c r="E150" s="99" t="s">
        <v>1591</v>
      </c>
      <c r="F150" s="98" t="s">
        <v>1592</v>
      </c>
      <c r="G150" s="100" t="s">
        <v>1593</v>
      </c>
      <c r="H150" s="98" t="s">
        <v>1594</v>
      </c>
      <c r="I150" s="98" t="s">
        <v>1595</v>
      </c>
      <c r="J150" s="98" t="s">
        <v>1596</v>
      </c>
      <c r="K150" s="98" t="s">
        <v>1597</v>
      </c>
      <c r="L150" s="101" t="s">
        <v>136</v>
      </c>
      <c r="M150" s="98" t="s">
        <v>1598</v>
      </c>
      <c r="N150" s="98" t="s">
        <v>1599</v>
      </c>
      <c r="O150" s="102" t="s">
        <v>1079</v>
      </c>
    </row>
    <row r="151" spans="1:15" ht="70.05" customHeight="1" x14ac:dyDescent="0.3">
      <c r="A151" s="103">
        <v>150</v>
      </c>
      <c r="B151" s="104"/>
      <c r="C151" s="105"/>
      <c r="D151" s="106" t="s">
        <v>1546</v>
      </c>
      <c r="E151" s="107" t="s">
        <v>1600</v>
      </c>
      <c r="F151" s="106" t="s">
        <v>1601</v>
      </c>
      <c r="G151" s="108" t="s">
        <v>1602</v>
      </c>
      <c r="H151" s="106" t="s">
        <v>1603</v>
      </c>
      <c r="I151" s="106" t="s">
        <v>1604</v>
      </c>
      <c r="J151" s="106" t="s">
        <v>1605</v>
      </c>
      <c r="K151" s="106" t="s">
        <v>1606</v>
      </c>
      <c r="L151" s="109" t="s">
        <v>136</v>
      </c>
      <c r="M151" s="106" t="s">
        <v>1607</v>
      </c>
      <c r="N151" s="106" t="s">
        <v>1565</v>
      </c>
      <c r="O151" s="110" t="s">
        <v>1249</v>
      </c>
    </row>
    <row r="152" spans="1:15" ht="70.05" customHeight="1" x14ac:dyDescent="0.3">
      <c r="A152" s="95">
        <v>151</v>
      </c>
      <c r="B152" s="104"/>
      <c r="C152" s="105"/>
      <c r="D152" s="98" t="s">
        <v>1546</v>
      </c>
      <c r="E152" s="99" t="s">
        <v>1608</v>
      </c>
      <c r="F152" s="98" t="s">
        <v>1609</v>
      </c>
      <c r="G152" s="100" t="s">
        <v>1610</v>
      </c>
      <c r="H152" s="98" t="s">
        <v>1611</v>
      </c>
      <c r="I152" s="98" t="s">
        <v>1612</v>
      </c>
      <c r="J152" s="98" t="s">
        <v>1613</v>
      </c>
      <c r="K152" s="98" t="s">
        <v>1614</v>
      </c>
      <c r="L152" s="101" t="s">
        <v>136</v>
      </c>
      <c r="M152" s="98" t="s">
        <v>1615</v>
      </c>
      <c r="N152" s="98" t="s">
        <v>1616</v>
      </c>
      <c r="O152" s="102" t="s">
        <v>1079</v>
      </c>
    </row>
    <row r="153" spans="1:15" ht="70.05" customHeight="1" x14ac:dyDescent="0.3">
      <c r="A153" s="103">
        <v>152</v>
      </c>
      <c r="B153" s="104"/>
      <c r="C153" s="105"/>
      <c r="D153" s="106" t="s">
        <v>1546</v>
      </c>
      <c r="E153" s="107" t="s">
        <v>1617</v>
      </c>
      <c r="F153" s="106" t="s">
        <v>1618</v>
      </c>
      <c r="G153" s="108" t="s">
        <v>1619</v>
      </c>
      <c r="H153" s="106" t="s">
        <v>1620</v>
      </c>
      <c r="I153" s="106" t="s">
        <v>1621</v>
      </c>
      <c r="J153" s="106" t="s">
        <v>1622</v>
      </c>
      <c r="K153" s="106" t="s">
        <v>1623</v>
      </c>
      <c r="L153" s="113" t="s">
        <v>115</v>
      </c>
      <c r="M153" s="106" t="s">
        <v>1624</v>
      </c>
      <c r="N153" s="106" t="s">
        <v>1625</v>
      </c>
      <c r="O153" s="110" t="s">
        <v>1249</v>
      </c>
    </row>
    <row r="154" spans="1:15" ht="70.05" customHeight="1" x14ac:dyDescent="0.3">
      <c r="A154" s="95">
        <v>153</v>
      </c>
      <c r="B154" s="104"/>
      <c r="C154" s="105"/>
      <c r="D154" s="98" t="s">
        <v>1546</v>
      </c>
      <c r="E154" s="99" t="s">
        <v>1626</v>
      </c>
      <c r="F154" s="98" t="s">
        <v>1627</v>
      </c>
      <c r="G154" s="100" t="s">
        <v>1628</v>
      </c>
      <c r="H154" s="98" t="s">
        <v>1629</v>
      </c>
      <c r="I154" s="98" t="s">
        <v>1630</v>
      </c>
      <c r="J154" s="98" t="s">
        <v>1631</v>
      </c>
      <c r="K154" s="98" t="s">
        <v>1632</v>
      </c>
      <c r="L154" s="111" t="s">
        <v>115</v>
      </c>
      <c r="M154" s="98" t="s">
        <v>1633</v>
      </c>
      <c r="N154" s="98" t="s">
        <v>1634</v>
      </c>
      <c r="O154" s="102" t="s">
        <v>492</v>
      </c>
    </row>
    <row r="155" spans="1:15" ht="70.05" customHeight="1" x14ac:dyDescent="0.3">
      <c r="A155" s="103">
        <v>154</v>
      </c>
      <c r="B155" s="104"/>
      <c r="C155" s="105"/>
      <c r="D155" s="106" t="s">
        <v>1546</v>
      </c>
      <c r="E155" s="107" t="s">
        <v>1635</v>
      </c>
      <c r="F155" s="106" t="s">
        <v>1636</v>
      </c>
      <c r="G155" s="108" t="s">
        <v>1637</v>
      </c>
      <c r="H155" s="106" t="s">
        <v>1638</v>
      </c>
      <c r="I155" s="106" t="s">
        <v>1639</v>
      </c>
      <c r="J155" s="106" t="s">
        <v>1640</v>
      </c>
      <c r="K155" s="106" t="s">
        <v>1641</v>
      </c>
      <c r="L155" s="113" t="s">
        <v>115</v>
      </c>
      <c r="M155" s="106" t="s">
        <v>1642</v>
      </c>
      <c r="N155" s="106" t="s">
        <v>1643</v>
      </c>
      <c r="O155" s="110" t="s">
        <v>1249</v>
      </c>
    </row>
    <row r="156" spans="1:15" ht="70.05" customHeight="1" x14ac:dyDescent="0.3">
      <c r="A156" s="95">
        <v>155</v>
      </c>
      <c r="B156" s="104"/>
      <c r="C156" s="105"/>
      <c r="D156" s="98" t="s">
        <v>1546</v>
      </c>
      <c r="E156" s="99" t="s">
        <v>1644</v>
      </c>
      <c r="F156" s="98" t="s">
        <v>1645</v>
      </c>
      <c r="G156" s="100" t="s">
        <v>1646</v>
      </c>
      <c r="H156" s="98" t="s">
        <v>1647</v>
      </c>
      <c r="I156" s="98" t="s">
        <v>1648</v>
      </c>
      <c r="J156" s="98" t="s">
        <v>1649</v>
      </c>
      <c r="K156" s="98" t="s">
        <v>1650</v>
      </c>
      <c r="L156" s="111" t="s">
        <v>115</v>
      </c>
      <c r="M156" s="98" t="s">
        <v>1651</v>
      </c>
      <c r="N156" s="98" t="s">
        <v>1652</v>
      </c>
      <c r="O156" s="102" t="s">
        <v>1653</v>
      </c>
    </row>
    <row r="157" spans="1:15" ht="70.05" customHeight="1" x14ac:dyDescent="0.3">
      <c r="A157" s="103">
        <v>156</v>
      </c>
      <c r="B157" s="104"/>
      <c r="C157" s="105"/>
      <c r="D157" s="106" t="s">
        <v>1546</v>
      </c>
      <c r="E157" s="107" t="s">
        <v>1654</v>
      </c>
      <c r="F157" s="106" t="s">
        <v>1655</v>
      </c>
      <c r="G157" s="108" t="s">
        <v>1656</v>
      </c>
      <c r="H157" s="106" t="s">
        <v>1657</v>
      </c>
      <c r="I157" s="106" t="s">
        <v>1658</v>
      </c>
      <c r="J157" s="106" t="s">
        <v>1659</v>
      </c>
      <c r="K157" s="106" t="s">
        <v>1660</v>
      </c>
      <c r="L157" s="113" t="s">
        <v>115</v>
      </c>
      <c r="M157" s="106" t="s">
        <v>1651</v>
      </c>
      <c r="N157" s="106" t="s">
        <v>1661</v>
      </c>
      <c r="O157" s="110" t="s">
        <v>1556</v>
      </c>
    </row>
    <row r="158" spans="1:15" ht="70.05" customHeight="1" x14ac:dyDescent="0.3">
      <c r="A158" s="95">
        <v>157</v>
      </c>
      <c r="B158" s="125" t="s">
        <v>1662</v>
      </c>
      <c r="C158" s="97" t="s">
        <v>1663</v>
      </c>
      <c r="D158" s="98" t="s">
        <v>1664</v>
      </c>
      <c r="E158" s="99" t="s">
        <v>1665</v>
      </c>
      <c r="F158" s="98" t="s">
        <v>1666</v>
      </c>
      <c r="G158" s="100" t="s">
        <v>1667</v>
      </c>
      <c r="H158" s="98" t="s">
        <v>1668</v>
      </c>
      <c r="I158" s="98" t="s">
        <v>1669</v>
      </c>
      <c r="J158" s="98" t="s">
        <v>1670</v>
      </c>
      <c r="K158" s="98" t="s">
        <v>1671</v>
      </c>
      <c r="L158" s="101" t="s">
        <v>136</v>
      </c>
      <c r="M158" s="98" t="s">
        <v>1672</v>
      </c>
      <c r="N158" s="98" t="s">
        <v>1673</v>
      </c>
      <c r="O158" s="102" t="s">
        <v>1425</v>
      </c>
    </row>
    <row r="159" spans="1:15" ht="70.05" customHeight="1" x14ac:dyDescent="0.3">
      <c r="A159" s="103">
        <v>158</v>
      </c>
      <c r="B159" s="104"/>
      <c r="C159" s="105"/>
      <c r="D159" s="106" t="s">
        <v>1664</v>
      </c>
      <c r="E159" s="107" t="s">
        <v>1674</v>
      </c>
      <c r="F159" s="106" t="s">
        <v>1675</v>
      </c>
      <c r="G159" s="108" t="s">
        <v>1676</v>
      </c>
      <c r="H159" s="106" t="s">
        <v>1677</v>
      </c>
      <c r="I159" s="106" t="s">
        <v>1678</v>
      </c>
      <c r="J159" s="106" t="s">
        <v>1679</v>
      </c>
      <c r="K159" s="106" t="s">
        <v>1680</v>
      </c>
      <c r="L159" s="113" t="s">
        <v>115</v>
      </c>
      <c r="M159" s="106" t="s">
        <v>1681</v>
      </c>
      <c r="N159" s="106" t="s">
        <v>1682</v>
      </c>
      <c r="O159" s="110" t="s">
        <v>1415</v>
      </c>
    </row>
    <row r="160" spans="1:15" ht="70.05" customHeight="1" x14ac:dyDescent="0.3">
      <c r="A160" s="95">
        <v>159</v>
      </c>
      <c r="B160" s="104"/>
      <c r="C160" s="105"/>
      <c r="D160" s="98" t="s">
        <v>1664</v>
      </c>
      <c r="E160" s="99" t="s">
        <v>1683</v>
      </c>
      <c r="F160" s="98" t="s">
        <v>1684</v>
      </c>
      <c r="G160" s="100" t="s">
        <v>1685</v>
      </c>
      <c r="H160" s="98" t="s">
        <v>1686</v>
      </c>
      <c r="I160" s="98" t="s">
        <v>1687</v>
      </c>
      <c r="J160" s="98" t="s">
        <v>1688</v>
      </c>
      <c r="K160" s="98" t="s">
        <v>1689</v>
      </c>
      <c r="L160" s="111" t="s">
        <v>115</v>
      </c>
      <c r="M160" s="98" t="s">
        <v>1690</v>
      </c>
      <c r="N160" s="98" t="s">
        <v>1691</v>
      </c>
      <c r="O160" s="102" t="s">
        <v>1425</v>
      </c>
    </row>
    <row r="161" spans="1:15" ht="70.05" customHeight="1" x14ac:dyDescent="0.3">
      <c r="A161" s="103">
        <v>160</v>
      </c>
      <c r="B161" s="104"/>
      <c r="C161" s="105"/>
      <c r="D161" s="106" t="s">
        <v>1664</v>
      </c>
      <c r="E161" s="107" t="s">
        <v>1692</v>
      </c>
      <c r="F161" s="106" t="s">
        <v>1693</v>
      </c>
      <c r="G161" s="108" t="s">
        <v>1694</v>
      </c>
      <c r="H161" s="106" t="s">
        <v>1695</v>
      </c>
      <c r="I161" s="106" t="s">
        <v>1696</v>
      </c>
      <c r="J161" s="106" t="s">
        <v>1697</v>
      </c>
      <c r="K161" s="106" t="s">
        <v>1698</v>
      </c>
      <c r="L161" s="113" t="s">
        <v>115</v>
      </c>
      <c r="M161" s="106" t="s">
        <v>1699</v>
      </c>
      <c r="N161" s="106" t="s">
        <v>1691</v>
      </c>
      <c r="O161" s="110" t="s">
        <v>1700</v>
      </c>
    </row>
    <row r="162" spans="1:15" ht="70.05" customHeight="1" x14ac:dyDescent="0.3">
      <c r="A162" s="95">
        <v>161</v>
      </c>
      <c r="B162" s="104"/>
      <c r="C162" s="105"/>
      <c r="D162" s="98" t="s">
        <v>1664</v>
      </c>
      <c r="E162" s="99" t="s">
        <v>1701</v>
      </c>
      <c r="F162" s="98" t="s">
        <v>1702</v>
      </c>
      <c r="G162" s="100" t="s">
        <v>1703</v>
      </c>
      <c r="H162" s="98" t="s">
        <v>1704</v>
      </c>
      <c r="I162" s="98" t="s">
        <v>1705</v>
      </c>
      <c r="J162" s="98" t="s">
        <v>1706</v>
      </c>
      <c r="K162" s="98" t="s">
        <v>1707</v>
      </c>
      <c r="L162" s="111" t="s">
        <v>115</v>
      </c>
      <c r="M162" s="98" t="s">
        <v>1708</v>
      </c>
      <c r="N162" s="98" t="s">
        <v>1691</v>
      </c>
      <c r="O162" s="102" t="s">
        <v>1425</v>
      </c>
    </row>
    <row r="163" spans="1:15" ht="70.05" customHeight="1" x14ac:dyDescent="0.3">
      <c r="A163" s="103">
        <v>162</v>
      </c>
      <c r="B163" s="104"/>
      <c r="C163" s="105"/>
      <c r="D163" s="106" t="s">
        <v>1664</v>
      </c>
      <c r="E163" s="107" t="s">
        <v>1709</v>
      </c>
      <c r="F163" s="106" t="s">
        <v>1710</v>
      </c>
      <c r="G163" s="108" t="s">
        <v>1711</v>
      </c>
      <c r="H163" s="106" t="s">
        <v>1712</v>
      </c>
      <c r="I163" s="106" t="s">
        <v>1713</v>
      </c>
      <c r="J163" s="106" t="s">
        <v>1714</v>
      </c>
      <c r="K163" s="106" t="s">
        <v>1715</v>
      </c>
      <c r="L163" s="113" t="s">
        <v>115</v>
      </c>
      <c r="M163" s="106" t="s">
        <v>1716</v>
      </c>
      <c r="N163" s="106" t="s">
        <v>1717</v>
      </c>
      <c r="O163" s="110" t="s">
        <v>1425</v>
      </c>
    </row>
    <row r="164" spans="1:15" ht="70.05" customHeight="1" x14ac:dyDescent="0.3">
      <c r="A164" s="95">
        <v>163</v>
      </c>
      <c r="B164" s="104"/>
      <c r="C164" s="105"/>
      <c r="D164" s="98" t="s">
        <v>1664</v>
      </c>
      <c r="E164" s="99" t="s">
        <v>1718</v>
      </c>
      <c r="F164" s="98" t="s">
        <v>1719</v>
      </c>
      <c r="G164" s="100" t="s">
        <v>1720</v>
      </c>
      <c r="H164" s="98" t="s">
        <v>1721</v>
      </c>
      <c r="I164" s="98" t="s">
        <v>1722</v>
      </c>
      <c r="J164" s="98" t="s">
        <v>1723</v>
      </c>
      <c r="K164" s="98" t="s">
        <v>1724</v>
      </c>
      <c r="L164" s="111" t="s">
        <v>115</v>
      </c>
      <c r="M164" s="98" t="s">
        <v>1725</v>
      </c>
      <c r="N164" s="98" t="s">
        <v>1691</v>
      </c>
      <c r="O164" s="102" t="s">
        <v>1425</v>
      </c>
    </row>
    <row r="165" spans="1:15" ht="70.05" customHeight="1" x14ac:dyDescent="0.3">
      <c r="A165" s="103">
        <v>164</v>
      </c>
      <c r="B165" s="125" t="s">
        <v>26</v>
      </c>
      <c r="C165" s="114" t="s">
        <v>1726</v>
      </c>
      <c r="D165" s="106" t="s">
        <v>1727</v>
      </c>
      <c r="E165" s="107" t="s">
        <v>1728</v>
      </c>
      <c r="F165" s="106" t="s">
        <v>1729</v>
      </c>
      <c r="G165" s="108" t="s">
        <v>1730</v>
      </c>
      <c r="H165" s="106" t="s">
        <v>1731</v>
      </c>
      <c r="I165" s="106" t="s">
        <v>1732</v>
      </c>
      <c r="J165" s="106" t="s">
        <v>1733</v>
      </c>
      <c r="K165" s="106" t="s">
        <v>1734</v>
      </c>
      <c r="L165" s="113" t="s">
        <v>115</v>
      </c>
      <c r="M165" s="106" t="s">
        <v>1735</v>
      </c>
      <c r="N165" s="106" t="s">
        <v>771</v>
      </c>
      <c r="O165" s="110" t="s">
        <v>1425</v>
      </c>
    </row>
    <row r="166" spans="1:15" ht="70.05" customHeight="1" x14ac:dyDescent="0.3">
      <c r="A166" s="95">
        <v>165</v>
      </c>
      <c r="B166" s="104"/>
      <c r="C166" s="105"/>
      <c r="D166" s="98" t="s">
        <v>1736</v>
      </c>
      <c r="E166" s="99" t="s">
        <v>1737</v>
      </c>
      <c r="F166" s="98" t="s">
        <v>1738</v>
      </c>
      <c r="G166" s="100" t="s">
        <v>1739</v>
      </c>
      <c r="H166" s="98" t="s">
        <v>1740</v>
      </c>
      <c r="I166" s="98" t="s">
        <v>1741</v>
      </c>
      <c r="J166" s="98" t="s">
        <v>1742</v>
      </c>
      <c r="K166" s="98" t="s">
        <v>1743</v>
      </c>
      <c r="L166" s="111" t="s">
        <v>115</v>
      </c>
      <c r="M166" s="98" t="s">
        <v>1744</v>
      </c>
      <c r="N166" s="98" t="s">
        <v>771</v>
      </c>
      <c r="O166" s="102" t="s">
        <v>1373</v>
      </c>
    </row>
    <row r="167" spans="1:15" ht="70.05" customHeight="1" x14ac:dyDescent="0.3">
      <c r="A167" s="103">
        <v>166</v>
      </c>
      <c r="B167" s="104"/>
      <c r="C167" s="105"/>
      <c r="D167" s="106" t="s">
        <v>1745</v>
      </c>
      <c r="E167" s="107" t="s">
        <v>1746</v>
      </c>
      <c r="F167" s="106" t="s">
        <v>1747</v>
      </c>
      <c r="G167" s="108" t="s">
        <v>1748</v>
      </c>
      <c r="H167" s="106" t="s">
        <v>1749</v>
      </c>
      <c r="I167" s="106" t="s">
        <v>1750</v>
      </c>
      <c r="J167" s="106" t="s">
        <v>1751</v>
      </c>
      <c r="K167" s="106" t="s">
        <v>1752</v>
      </c>
      <c r="L167" s="113" t="s">
        <v>115</v>
      </c>
      <c r="M167" s="106" t="s">
        <v>1753</v>
      </c>
      <c r="N167" s="106" t="s">
        <v>771</v>
      </c>
      <c r="O167" s="110" t="s">
        <v>1700</v>
      </c>
    </row>
    <row r="168" spans="1:15" ht="70.05" customHeight="1" x14ac:dyDescent="0.3">
      <c r="A168" s="95">
        <v>167</v>
      </c>
      <c r="B168" s="104"/>
      <c r="C168" s="97" t="s">
        <v>1754</v>
      </c>
      <c r="D168" s="98" t="s">
        <v>1727</v>
      </c>
      <c r="E168" s="99" t="s">
        <v>1755</v>
      </c>
      <c r="F168" s="98" t="s">
        <v>1756</v>
      </c>
      <c r="G168" s="100" t="s">
        <v>1757</v>
      </c>
      <c r="H168" s="98" t="s">
        <v>1758</v>
      </c>
      <c r="I168" s="98" t="s">
        <v>1759</v>
      </c>
      <c r="J168" s="98" t="s">
        <v>1760</v>
      </c>
      <c r="K168" s="98" t="s">
        <v>1761</v>
      </c>
      <c r="L168" s="111" t="s">
        <v>115</v>
      </c>
      <c r="M168" s="98" t="s">
        <v>1762</v>
      </c>
      <c r="N168" s="98" t="s">
        <v>771</v>
      </c>
      <c r="O168" s="102" t="s">
        <v>1763</v>
      </c>
    </row>
    <row r="169" spans="1:15" ht="70.05" customHeight="1" x14ac:dyDescent="0.3">
      <c r="A169" s="103">
        <v>168</v>
      </c>
      <c r="B169" s="104"/>
      <c r="C169" s="105"/>
      <c r="D169" s="106" t="s">
        <v>1764</v>
      </c>
      <c r="E169" s="107" t="s">
        <v>1765</v>
      </c>
      <c r="F169" s="106" t="s">
        <v>1766</v>
      </c>
      <c r="G169" s="108" t="s">
        <v>1767</v>
      </c>
      <c r="H169" s="106" t="s">
        <v>1768</v>
      </c>
      <c r="I169" s="106" t="s">
        <v>1769</v>
      </c>
      <c r="J169" s="106" t="s">
        <v>1770</v>
      </c>
      <c r="K169" s="106" t="s">
        <v>1771</v>
      </c>
      <c r="L169" s="113" t="s">
        <v>115</v>
      </c>
      <c r="M169" s="106" t="s">
        <v>1772</v>
      </c>
      <c r="N169" s="106" t="s">
        <v>771</v>
      </c>
      <c r="O169" s="110" t="s">
        <v>1763</v>
      </c>
    </row>
    <row r="170" spans="1:15" ht="70.05" customHeight="1" x14ac:dyDescent="0.3">
      <c r="A170" s="95">
        <v>169</v>
      </c>
      <c r="B170" s="104"/>
      <c r="C170" s="105"/>
      <c r="D170" s="98" t="s">
        <v>1773</v>
      </c>
      <c r="E170" s="99" t="s">
        <v>1774</v>
      </c>
      <c r="F170" s="98" t="s">
        <v>1775</v>
      </c>
      <c r="G170" s="100" t="s">
        <v>1776</v>
      </c>
      <c r="H170" s="98" t="s">
        <v>1777</v>
      </c>
      <c r="I170" s="98" t="s">
        <v>1778</v>
      </c>
      <c r="J170" s="98" t="s">
        <v>1779</v>
      </c>
      <c r="K170" s="98" t="s">
        <v>1780</v>
      </c>
      <c r="L170" s="101" t="s">
        <v>136</v>
      </c>
      <c r="M170" s="98" t="s">
        <v>1781</v>
      </c>
      <c r="N170" s="98" t="s">
        <v>1782</v>
      </c>
      <c r="O170" s="102" t="s">
        <v>1783</v>
      </c>
    </row>
    <row r="171" spans="1:15" ht="70.05" customHeight="1" x14ac:dyDescent="0.3">
      <c r="A171" s="103">
        <v>170</v>
      </c>
      <c r="B171" s="104"/>
      <c r="C171" s="105"/>
      <c r="D171" s="106" t="s">
        <v>1727</v>
      </c>
      <c r="E171" s="107" t="s">
        <v>1784</v>
      </c>
      <c r="F171" s="106" t="s">
        <v>1785</v>
      </c>
      <c r="G171" s="108" t="s">
        <v>1786</v>
      </c>
      <c r="H171" s="106" t="s">
        <v>1787</v>
      </c>
      <c r="I171" s="106" t="s">
        <v>1788</v>
      </c>
      <c r="J171" s="106" t="s">
        <v>1789</v>
      </c>
      <c r="K171" s="106" t="s">
        <v>1790</v>
      </c>
      <c r="L171" s="113" t="s">
        <v>115</v>
      </c>
      <c r="M171" s="106" t="s">
        <v>1791</v>
      </c>
      <c r="N171" s="106" t="s">
        <v>771</v>
      </c>
      <c r="O171" s="110" t="s">
        <v>1792</v>
      </c>
    </row>
    <row r="172" spans="1:15" ht="70.05" customHeight="1" x14ac:dyDescent="0.3">
      <c r="A172" s="95">
        <v>171</v>
      </c>
      <c r="B172" s="104"/>
      <c r="C172" s="105"/>
      <c r="D172" s="98" t="s">
        <v>1727</v>
      </c>
      <c r="E172" s="99" t="s">
        <v>1793</v>
      </c>
      <c r="F172" s="98" t="s">
        <v>1794</v>
      </c>
      <c r="G172" s="100" t="s">
        <v>1795</v>
      </c>
      <c r="H172" s="98" t="s">
        <v>1796</v>
      </c>
      <c r="I172" s="98" t="s">
        <v>1797</v>
      </c>
      <c r="J172" s="98" t="s">
        <v>1798</v>
      </c>
      <c r="K172" s="98" t="s">
        <v>1799</v>
      </c>
      <c r="L172" s="101" t="s">
        <v>136</v>
      </c>
      <c r="M172" s="98" t="s">
        <v>1800</v>
      </c>
      <c r="N172" s="98" t="s">
        <v>1801</v>
      </c>
      <c r="O172" s="102" t="s">
        <v>1783</v>
      </c>
    </row>
    <row r="173" spans="1:15" ht="70.05" customHeight="1" x14ac:dyDescent="0.3">
      <c r="A173" s="103">
        <v>172</v>
      </c>
      <c r="B173" s="125" t="s">
        <v>1662</v>
      </c>
      <c r="C173" s="114" t="s">
        <v>1802</v>
      </c>
      <c r="D173" s="106" t="s">
        <v>1664</v>
      </c>
      <c r="E173" s="107" t="s">
        <v>1803</v>
      </c>
      <c r="F173" s="106" t="s">
        <v>1804</v>
      </c>
      <c r="G173" s="108" t="s">
        <v>1805</v>
      </c>
      <c r="H173" s="106" t="s">
        <v>1806</v>
      </c>
      <c r="I173" s="106" t="s">
        <v>1807</v>
      </c>
      <c r="J173" s="106" t="s">
        <v>1808</v>
      </c>
      <c r="K173" s="106" t="s">
        <v>1809</v>
      </c>
      <c r="L173" s="113" t="s">
        <v>115</v>
      </c>
      <c r="M173" s="106" t="s">
        <v>1810</v>
      </c>
      <c r="N173" s="106" t="s">
        <v>1811</v>
      </c>
      <c r="O173" s="110" t="s">
        <v>1425</v>
      </c>
    </row>
    <row r="174" spans="1:15" ht="70.05" customHeight="1" x14ac:dyDescent="0.3">
      <c r="A174" s="95">
        <v>173</v>
      </c>
      <c r="B174" s="104"/>
      <c r="C174" s="105"/>
      <c r="D174" s="98" t="s">
        <v>1664</v>
      </c>
      <c r="E174" s="99" t="s">
        <v>1812</v>
      </c>
      <c r="F174" s="98" t="s">
        <v>1813</v>
      </c>
      <c r="G174" s="100" t="s">
        <v>1814</v>
      </c>
      <c r="H174" s="98" t="s">
        <v>1815</v>
      </c>
      <c r="I174" s="98" t="s">
        <v>1816</v>
      </c>
      <c r="J174" s="98" t="s">
        <v>1817</v>
      </c>
      <c r="K174" s="98" t="s">
        <v>1818</v>
      </c>
      <c r="L174" s="111" t="s">
        <v>115</v>
      </c>
      <c r="M174" s="98" t="s">
        <v>1819</v>
      </c>
      <c r="N174" s="98" t="s">
        <v>1820</v>
      </c>
      <c r="O174" s="102" t="s">
        <v>1425</v>
      </c>
    </row>
    <row r="175" spans="1:15" ht="70.05" customHeight="1" x14ac:dyDescent="0.3">
      <c r="A175" s="103">
        <v>174</v>
      </c>
      <c r="B175" s="104"/>
      <c r="C175" s="114" t="s">
        <v>1821</v>
      </c>
      <c r="D175" s="106" t="s">
        <v>1664</v>
      </c>
      <c r="E175" s="107" t="s">
        <v>1822</v>
      </c>
      <c r="F175" s="106" t="s">
        <v>1823</v>
      </c>
      <c r="G175" s="108" t="s">
        <v>1824</v>
      </c>
      <c r="H175" s="106" t="s">
        <v>1825</v>
      </c>
      <c r="I175" s="106" t="s">
        <v>1826</v>
      </c>
      <c r="J175" s="106" t="s">
        <v>1827</v>
      </c>
      <c r="K175" s="106" t="s">
        <v>1828</v>
      </c>
      <c r="L175" s="112" t="s">
        <v>242</v>
      </c>
      <c r="M175" s="106" t="s">
        <v>1716</v>
      </c>
      <c r="N175" s="106" t="s">
        <v>1829</v>
      </c>
      <c r="O175" s="110" t="s">
        <v>1415</v>
      </c>
    </row>
    <row r="176" spans="1:15" ht="70.05" customHeight="1" x14ac:dyDescent="0.3">
      <c r="A176" s="95">
        <v>175</v>
      </c>
      <c r="B176" s="104"/>
      <c r="C176" s="105"/>
      <c r="D176" s="98" t="s">
        <v>1664</v>
      </c>
      <c r="E176" s="99" t="s">
        <v>1830</v>
      </c>
      <c r="F176" s="98" t="s">
        <v>1831</v>
      </c>
      <c r="G176" s="100" t="s">
        <v>1832</v>
      </c>
      <c r="H176" s="98" t="s">
        <v>1833</v>
      </c>
      <c r="I176" s="98" t="s">
        <v>1834</v>
      </c>
      <c r="J176" s="98" t="s">
        <v>1835</v>
      </c>
      <c r="K176" s="98" t="s">
        <v>1836</v>
      </c>
      <c r="L176" s="101" t="s">
        <v>136</v>
      </c>
      <c r="M176" s="98" t="s">
        <v>1837</v>
      </c>
      <c r="N176" s="98" t="s">
        <v>1838</v>
      </c>
      <c r="O176" s="102" t="s">
        <v>1507</v>
      </c>
    </row>
    <row r="177" spans="1:15" ht="70.05" customHeight="1" x14ac:dyDescent="0.3">
      <c r="A177" s="103">
        <v>176</v>
      </c>
      <c r="B177" s="125" t="s">
        <v>26</v>
      </c>
      <c r="C177" s="114" t="s">
        <v>1839</v>
      </c>
      <c r="D177" s="106" t="s">
        <v>1840</v>
      </c>
      <c r="E177" s="107" t="s">
        <v>1841</v>
      </c>
      <c r="F177" s="106" t="s">
        <v>1842</v>
      </c>
      <c r="G177" s="108" t="s">
        <v>1843</v>
      </c>
      <c r="H177" s="106" t="s">
        <v>1844</v>
      </c>
      <c r="I177" s="106" t="s">
        <v>1845</v>
      </c>
      <c r="J177" s="106" t="s">
        <v>1846</v>
      </c>
      <c r="K177" s="106" t="s">
        <v>1847</v>
      </c>
      <c r="L177" s="113" t="s">
        <v>115</v>
      </c>
      <c r="M177" s="106" t="s">
        <v>1848</v>
      </c>
      <c r="N177" s="106" t="s">
        <v>1849</v>
      </c>
      <c r="O177" s="110" t="s">
        <v>1507</v>
      </c>
    </row>
    <row r="178" spans="1:15" ht="70.05" customHeight="1" x14ac:dyDescent="0.3">
      <c r="A178" s="95">
        <v>177</v>
      </c>
      <c r="B178" s="104"/>
      <c r="C178" s="105"/>
      <c r="D178" s="98" t="s">
        <v>1840</v>
      </c>
      <c r="E178" s="99" t="s">
        <v>1850</v>
      </c>
      <c r="F178" s="98" t="s">
        <v>1851</v>
      </c>
      <c r="G178" s="100" t="s">
        <v>1852</v>
      </c>
      <c r="H178" s="98" t="s">
        <v>1853</v>
      </c>
      <c r="I178" s="98" t="s">
        <v>1854</v>
      </c>
      <c r="J178" s="98" t="s">
        <v>1855</v>
      </c>
      <c r="K178" s="98" t="s">
        <v>1856</v>
      </c>
      <c r="L178" s="101" t="s">
        <v>136</v>
      </c>
      <c r="M178" s="98" t="s">
        <v>1857</v>
      </c>
      <c r="N178" s="98" t="s">
        <v>1858</v>
      </c>
      <c r="O178" s="102" t="s">
        <v>1507</v>
      </c>
    </row>
    <row r="179" spans="1:15" ht="70.05" customHeight="1" x14ac:dyDescent="0.3">
      <c r="A179" s="103">
        <v>178</v>
      </c>
      <c r="B179" s="104"/>
      <c r="C179" s="105"/>
      <c r="D179" s="106" t="s">
        <v>1859</v>
      </c>
      <c r="E179" s="107" t="s">
        <v>1860</v>
      </c>
      <c r="F179" s="106" t="s">
        <v>1861</v>
      </c>
      <c r="G179" s="108" t="s">
        <v>1862</v>
      </c>
      <c r="H179" s="106" t="s">
        <v>1863</v>
      </c>
      <c r="I179" s="106" t="s">
        <v>1864</v>
      </c>
      <c r="J179" s="106" t="s">
        <v>1865</v>
      </c>
      <c r="K179" s="106" t="s">
        <v>1866</v>
      </c>
      <c r="L179" s="113" t="s">
        <v>115</v>
      </c>
      <c r="M179" s="106" t="s">
        <v>1867</v>
      </c>
      <c r="N179" s="106" t="s">
        <v>771</v>
      </c>
      <c r="O179" s="110" t="s">
        <v>1425</v>
      </c>
    </row>
    <row r="180" spans="1:15" ht="70.05" customHeight="1" x14ac:dyDescent="0.3">
      <c r="A180" s="95">
        <v>179</v>
      </c>
      <c r="B180" s="104"/>
      <c r="C180" s="97" t="s">
        <v>1868</v>
      </c>
      <c r="D180" s="98" t="s">
        <v>1727</v>
      </c>
      <c r="E180" s="99" t="s">
        <v>1869</v>
      </c>
      <c r="F180" s="98" t="s">
        <v>1870</v>
      </c>
      <c r="G180" s="100" t="s">
        <v>1871</v>
      </c>
      <c r="H180" s="98" t="s">
        <v>1872</v>
      </c>
      <c r="I180" s="98" t="s">
        <v>1873</v>
      </c>
      <c r="J180" s="98" t="s">
        <v>1874</v>
      </c>
      <c r="K180" s="98" t="s">
        <v>1875</v>
      </c>
      <c r="L180" s="111" t="s">
        <v>115</v>
      </c>
      <c r="M180" s="98" t="s">
        <v>1876</v>
      </c>
      <c r="N180" s="98" t="s">
        <v>771</v>
      </c>
      <c r="O180" s="102" t="s">
        <v>1700</v>
      </c>
    </row>
    <row r="181" spans="1:15" ht="70.05" customHeight="1" x14ac:dyDescent="0.3">
      <c r="A181" s="103">
        <v>180</v>
      </c>
      <c r="B181" s="104"/>
      <c r="C181" s="105"/>
      <c r="D181" s="106" t="s">
        <v>1727</v>
      </c>
      <c r="E181" s="107" t="s">
        <v>1877</v>
      </c>
      <c r="F181" s="106" t="s">
        <v>1878</v>
      </c>
      <c r="G181" s="108" t="s">
        <v>1879</v>
      </c>
      <c r="H181" s="106" t="s">
        <v>1880</v>
      </c>
      <c r="I181" s="106" t="s">
        <v>1881</v>
      </c>
      <c r="J181" s="106" t="s">
        <v>1882</v>
      </c>
      <c r="K181" s="106" t="s">
        <v>1883</v>
      </c>
      <c r="L181" s="113" t="s">
        <v>115</v>
      </c>
      <c r="M181" s="106" t="s">
        <v>1884</v>
      </c>
      <c r="N181" s="106" t="s">
        <v>1885</v>
      </c>
      <c r="O181" s="110" t="s">
        <v>1402</v>
      </c>
    </row>
    <row r="182" spans="1:15" ht="70.05" customHeight="1" x14ac:dyDescent="0.3">
      <c r="A182" s="95">
        <v>181</v>
      </c>
      <c r="B182" s="104"/>
      <c r="C182" s="105"/>
      <c r="D182" s="98" t="s">
        <v>1727</v>
      </c>
      <c r="E182" s="99" t="s">
        <v>1886</v>
      </c>
      <c r="F182" s="98" t="s">
        <v>1887</v>
      </c>
      <c r="G182" s="100" t="s">
        <v>1888</v>
      </c>
      <c r="H182" s="98" t="s">
        <v>1889</v>
      </c>
      <c r="I182" s="98" t="s">
        <v>1890</v>
      </c>
      <c r="J182" s="98" t="s">
        <v>1891</v>
      </c>
      <c r="K182" s="98" t="s">
        <v>1892</v>
      </c>
      <c r="L182" s="101" t="s">
        <v>136</v>
      </c>
      <c r="M182" s="98" t="s">
        <v>1893</v>
      </c>
      <c r="N182" s="98" t="s">
        <v>1894</v>
      </c>
      <c r="O182" s="102" t="s">
        <v>1895</v>
      </c>
    </row>
    <row r="183" spans="1:15" ht="70.05" customHeight="1" x14ac:dyDescent="0.3">
      <c r="A183" s="103">
        <v>182</v>
      </c>
      <c r="B183" s="126" t="s">
        <v>1662</v>
      </c>
      <c r="C183" s="118" t="s">
        <v>1896</v>
      </c>
      <c r="D183" s="106" t="s">
        <v>1664</v>
      </c>
      <c r="E183" s="107" t="s">
        <v>1897</v>
      </c>
      <c r="F183" s="106" t="s">
        <v>1898</v>
      </c>
      <c r="G183" s="108" t="s">
        <v>1899</v>
      </c>
      <c r="H183" s="106" t="s">
        <v>1900</v>
      </c>
      <c r="I183" s="106" t="s">
        <v>1901</v>
      </c>
      <c r="J183" s="106" t="s">
        <v>1902</v>
      </c>
      <c r="K183" s="106" t="s">
        <v>1903</v>
      </c>
      <c r="L183" s="113" t="s">
        <v>115</v>
      </c>
      <c r="M183" s="106" t="s">
        <v>1904</v>
      </c>
      <c r="N183" s="106" t="s">
        <v>1691</v>
      </c>
      <c r="O183" s="110" t="s">
        <v>1905</v>
      </c>
    </row>
    <row r="184" spans="1:15" ht="70.05" customHeight="1" x14ac:dyDescent="0.3">
      <c r="A184" s="95">
        <v>183</v>
      </c>
      <c r="B184" s="126" t="s">
        <v>26</v>
      </c>
      <c r="C184" s="119" t="s">
        <v>1906</v>
      </c>
      <c r="D184" s="98" t="s">
        <v>1727</v>
      </c>
      <c r="E184" s="99" t="s">
        <v>1907</v>
      </c>
      <c r="F184" s="98" t="s">
        <v>1908</v>
      </c>
      <c r="G184" s="100" t="s">
        <v>1909</v>
      </c>
      <c r="H184" s="98" t="s">
        <v>1910</v>
      </c>
      <c r="I184" s="98" t="s">
        <v>1911</v>
      </c>
      <c r="J184" s="98" t="s">
        <v>1912</v>
      </c>
      <c r="K184" s="98" t="s">
        <v>1913</v>
      </c>
      <c r="L184" s="111" t="s">
        <v>115</v>
      </c>
      <c r="M184" s="98" t="s">
        <v>1914</v>
      </c>
      <c r="N184" s="98" t="s">
        <v>771</v>
      </c>
      <c r="O184" s="102" t="s">
        <v>849</v>
      </c>
    </row>
    <row r="185" spans="1:15" ht="70.05" customHeight="1" x14ac:dyDescent="0.3">
      <c r="A185" s="103">
        <v>184</v>
      </c>
      <c r="B185" s="125" t="s">
        <v>1662</v>
      </c>
      <c r="C185" s="114" t="s">
        <v>1915</v>
      </c>
      <c r="D185" s="106" t="s">
        <v>1664</v>
      </c>
      <c r="E185" s="107" t="s">
        <v>1916</v>
      </c>
      <c r="F185" s="106" t="s">
        <v>1917</v>
      </c>
      <c r="G185" s="108" t="s">
        <v>1918</v>
      </c>
      <c r="H185" s="106" t="s">
        <v>1919</v>
      </c>
      <c r="I185" s="106" t="s">
        <v>1920</v>
      </c>
      <c r="J185" s="106" t="s">
        <v>1921</v>
      </c>
      <c r="K185" s="106" t="s">
        <v>1922</v>
      </c>
      <c r="L185" s="109" t="s">
        <v>136</v>
      </c>
      <c r="M185" s="106" t="s">
        <v>1923</v>
      </c>
      <c r="N185" s="106" t="s">
        <v>1924</v>
      </c>
      <c r="O185" s="110" t="s">
        <v>1925</v>
      </c>
    </row>
    <row r="186" spans="1:15" ht="70.05" customHeight="1" x14ac:dyDescent="0.3">
      <c r="A186" s="95">
        <v>185</v>
      </c>
      <c r="B186" s="104"/>
      <c r="C186" s="105"/>
      <c r="D186" s="98" t="s">
        <v>1664</v>
      </c>
      <c r="E186" s="99" t="s">
        <v>1926</v>
      </c>
      <c r="F186" s="98" t="s">
        <v>1927</v>
      </c>
      <c r="G186" s="100" t="s">
        <v>1928</v>
      </c>
      <c r="H186" s="98" t="s">
        <v>1929</v>
      </c>
      <c r="I186" s="98" t="s">
        <v>1930</v>
      </c>
      <c r="J186" s="98" t="s">
        <v>1931</v>
      </c>
      <c r="K186" s="98" t="s">
        <v>1932</v>
      </c>
      <c r="L186" s="111" t="s">
        <v>115</v>
      </c>
      <c r="M186" s="98" t="s">
        <v>1933</v>
      </c>
      <c r="N186" s="98" t="s">
        <v>1934</v>
      </c>
      <c r="O186" s="102" t="s">
        <v>1935</v>
      </c>
    </row>
    <row r="187" spans="1:15" ht="70.05" customHeight="1" x14ac:dyDescent="0.3">
      <c r="A187" s="103">
        <v>186</v>
      </c>
      <c r="B187" s="104"/>
      <c r="C187" s="105"/>
      <c r="D187" s="106" t="s">
        <v>1664</v>
      </c>
      <c r="E187" s="107" t="s">
        <v>1936</v>
      </c>
      <c r="F187" s="106" t="s">
        <v>1937</v>
      </c>
      <c r="G187" s="108" t="s">
        <v>1938</v>
      </c>
      <c r="H187" s="106" t="s">
        <v>1939</v>
      </c>
      <c r="I187" s="106" t="s">
        <v>1940</v>
      </c>
      <c r="J187" s="106" t="s">
        <v>1941</v>
      </c>
      <c r="K187" s="106" t="s">
        <v>1942</v>
      </c>
      <c r="L187" s="109" t="s">
        <v>136</v>
      </c>
      <c r="M187" s="106" t="s">
        <v>1690</v>
      </c>
      <c r="N187" s="106" t="s">
        <v>1943</v>
      </c>
      <c r="O187" s="110" t="s">
        <v>1944</v>
      </c>
    </row>
    <row r="188" spans="1:15" ht="70.05" customHeight="1" x14ac:dyDescent="0.3">
      <c r="A188" s="95">
        <v>187</v>
      </c>
      <c r="B188" s="104"/>
      <c r="C188" s="97" t="s">
        <v>1945</v>
      </c>
      <c r="D188" s="98" t="s">
        <v>1664</v>
      </c>
      <c r="E188" s="99" t="s">
        <v>1946</v>
      </c>
      <c r="F188" s="98" t="s">
        <v>1947</v>
      </c>
      <c r="G188" s="100" t="s">
        <v>1948</v>
      </c>
      <c r="H188" s="98" t="s">
        <v>1949</v>
      </c>
      <c r="I188" s="98" t="s">
        <v>1950</v>
      </c>
      <c r="J188" s="98" t="s">
        <v>1951</v>
      </c>
      <c r="K188" s="98" t="s">
        <v>1952</v>
      </c>
      <c r="L188" s="101" t="s">
        <v>136</v>
      </c>
      <c r="M188" s="98" t="s">
        <v>1953</v>
      </c>
      <c r="N188" s="98" t="s">
        <v>1954</v>
      </c>
      <c r="O188" s="102" t="s">
        <v>1700</v>
      </c>
    </row>
    <row r="189" spans="1:15" ht="70.05" customHeight="1" x14ac:dyDescent="0.3">
      <c r="A189" s="103">
        <v>188</v>
      </c>
      <c r="B189" s="104"/>
      <c r="C189" s="105"/>
      <c r="D189" s="106" t="s">
        <v>1664</v>
      </c>
      <c r="E189" s="107" t="s">
        <v>1955</v>
      </c>
      <c r="F189" s="106" t="s">
        <v>1956</v>
      </c>
      <c r="G189" s="108" t="s">
        <v>1957</v>
      </c>
      <c r="H189" s="106" t="s">
        <v>1958</v>
      </c>
      <c r="I189" s="106" t="s">
        <v>1959</v>
      </c>
      <c r="J189" s="106" t="s">
        <v>1960</v>
      </c>
      <c r="K189" s="106" t="s">
        <v>1961</v>
      </c>
      <c r="L189" s="109" t="s">
        <v>136</v>
      </c>
      <c r="M189" s="106" t="s">
        <v>1962</v>
      </c>
      <c r="N189" s="106" t="s">
        <v>1963</v>
      </c>
      <c r="O189" s="110" t="s">
        <v>1700</v>
      </c>
    </row>
    <row r="190" spans="1:15" ht="70.05" customHeight="1" x14ac:dyDescent="0.3">
      <c r="A190" s="95">
        <v>189</v>
      </c>
      <c r="B190" s="104"/>
      <c r="C190" s="105"/>
      <c r="D190" s="98" t="s">
        <v>1664</v>
      </c>
      <c r="E190" s="99" t="s">
        <v>1964</v>
      </c>
      <c r="F190" s="98" t="s">
        <v>1965</v>
      </c>
      <c r="G190" s="100" t="s">
        <v>1966</v>
      </c>
      <c r="H190" s="98" t="s">
        <v>1967</v>
      </c>
      <c r="I190" s="98" t="s">
        <v>1968</v>
      </c>
      <c r="J190" s="98" t="s">
        <v>1969</v>
      </c>
      <c r="K190" s="98" t="s">
        <v>1970</v>
      </c>
      <c r="L190" s="101" t="s">
        <v>136</v>
      </c>
      <c r="M190" s="98" t="s">
        <v>1971</v>
      </c>
      <c r="N190" s="98" t="s">
        <v>1972</v>
      </c>
      <c r="O190" s="102" t="s">
        <v>1700</v>
      </c>
    </row>
    <row r="191" spans="1:15" ht="70.05" customHeight="1" x14ac:dyDescent="0.3">
      <c r="A191" s="103">
        <v>190</v>
      </c>
      <c r="B191" s="104"/>
      <c r="C191" s="105"/>
      <c r="D191" s="106" t="s">
        <v>1664</v>
      </c>
      <c r="E191" s="107" t="s">
        <v>1973</v>
      </c>
      <c r="F191" s="106" t="s">
        <v>1974</v>
      </c>
      <c r="G191" s="108" t="s">
        <v>1975</v>
      </c>
      <c r="H191" s="106" t="s">
        <v>1976</v>
      </c>
      <c r="I191" s="106" t="s">
        <v>1977</v>
      </c>
      <c r="J191" s="106" t="s">
        <v>1978</v>
      </c>
      <c r="K191" s="106" t="s">
        <v>1979</v>
      </c>
      <c r="L191" s="109" t="s">
        <v>136</v>
      </c>
      <c r="M191" s="106" t="s">
        <v>1980</v>
      </c>
      <c r="N191" s="106" t="s">
        <v>1943</v>
      </c>
      <c r="O191" s="110" t="s">
        <v>1700</v>
      </c>
    </row>
    <row r="192" spans="1:15" ht="70.05" customHeight="1" x14ac:dyDescent="0.3">
      <c r="A192" s="95">
        <v>191</v>
      </c>
      <c r="B192" s="104"/>
      <c r="C192" s="105"/>
      <c r="D192" s="98" t="s">
        <v>1664</v>
      </c>
      <c r="E192" s="99" t="s">
        <v>1981</v>
      </c>
      <c r="F192" s="98" t="s">
        <v>1982</v>
      </c>
      <c r="G192" s="100" t="s">
        <v>1983</v>
      </c>
      <c r="H192" s="98" t="s">
        <v>1984</v>
      </c>
      <c r="I192" s="98" t="s">
        <v>1985</v>
      </c>
      <c r="J192" s="98" t="s">
        <v>1986</v>
      </c>
      <c r="K192" s="98" t="s">
        <v>1987</v>
      </c>
      <c r="L192" s="111" t="s">
        <v>115</v>
      </c>
      <c r="M192" s="98" t="s">
        <v>1988</v>
      </c>
      <c r="N192" s="98" t="s">
        <v>1989</v>
      </c>
      <c r="O192" s="102" t="s">
        <v>1425</v>
      </c>
    </row>
    <row r="193" spans="1:15" ht="70.05" customHeight="1" x14ac:dyDescent="0.3">
      <c r="A193" s="103">
        <v>192</v>
      </c>
      <c r="B193" s="125" t="s">
        <v>26</v>
      </c>
      <c r="C193" s="114" t="s">
        <v>1990</v>
      </c>
      <c r="D193" s="106" t="s">
        <v>1991</v>
      </c>
      <c r="E193" s="107" t="s">
        <v>1992</v>
      </c>
      <c r="F193" s="106" t="s">
        <v>1993</v>
      </c>
      <c r="G193" s="108" t="s">
        <v>1994</v>
      </c>
      <c r="H193" s="106" t="s">
        <v>1995</v>
      </c>
      <c r="I193" s="106" t="s">
        <v>1996</v>
      </c>
      <c r="J193" s="106" t="s">
        <v>1997</v>
      </c>
      <c r="K193" s="106" t="s">
        <v>1998</v>
      </c>
      <c r="L193" s="113" t="s">
        <v>115</v>
      </c>
      <c r="M193" s="106" t="s">
        <v>1999</v>
      </c>
      <c r="N193" s="106" t="s">
        <v>771</v>
      </c>
      <c r="O193" s="110" t="s">
        <v>1700</v>
      </c>
    </row>
    <row r="194" spans="1:15" ht="70.05" customHeight="1" x14ac:dyDescent="0.3">
      <c r="A194" s="95">
        <v>193</v>
      </c>
      <c r="B194" s="104"/>
      <c r="C194" s="105"/>
      <c r="D194" s="98" t="s">
        <v>1991</v>
      </c>
      <c r="E194" s="99" t="s">
        <v>2000</v>
      </c>
      <c r="F194" s="98" t="s">
        <v>2001</v>
      </c>
      <c r="G194" s="100" t="s">
        <v>2002</v>
      </c>
      <c r="H194" s="98" t="s">
        <v>2003</v>
      </c>
      <c r="I194" s="98" t="s">
        <v>2004</v>
      </c>
      <c r="J194" s="98" t="s">
        <v>2005</v>
      </c>
      <c r="K194" s="98" t="s">
        <v>2006</v>
      </c>
      <c r="L194" s="111" t="s">
        <v>115</v>
      </c>
      <c r="M194" s="98" t="s">
        <v>2007</v>
      </c>
      <c r="N194" s="98" t="s">
        <v>771</v>
      </c>
      <c r="O194" s="102" t="s">
        <v>1425</v>
      </c>
    </row>
    <row r="195" spans="1:15" ht="70.05" customHeight="1" x14ac:dyDescent="0.3">
      <c r="A195" s="103">
        <v>194</v>
      </c>
      <c r="B195" s="104"/>
      <c r="C195" s="105"/>
      <c r="D195" s="106" t="s">
        <v>1727</v>
      </c>
      <c r="E195" s="107" t="s">
        <v>2008</v>
      </c>
      <c r="F195" s="106" t="s">
        <v>2009</v>
      </c>
      <c r="G195" s="108" t="s">
        <v>2010</v>
      </c>
      <c r="H195" s="106" t="s">
        <v>2011</v>
      </c>
      <c r="I195" s="106" t="s">
        <v>2012</v>
      </c>
      <c r="J195" s="106" t="s">
        <v>2013</v>
      </c>
      <c r="K195" s="106" t="s">
        <v>2014</v>
      </c>
      <c r="L195" s="113" t="s">
        <v>115</v>
      </c>
      <c r="M195" s="106" t="s">
        <v>2015</v>
      </c>
      <c r="N195" s="106" t="s">
        <v>771</v>
      </c>
      <c r="O195" s="110" t="s">
        <v>1425</v>
      </c>
    </row>
    <row r="196" spans="1:15" ht="70.05" customHeight="1" x14ac:dyDescent="0.3">
      <c r="A196" s="95">
        <v>195</v>
      </c>
      <c r="B196" s="104"/>
      <c r="C196" s="105"/>
      <c r="D196" s="98" t="s">
        <v>1727</v>
      </c>
      <c r="E196" s="99" t="s">
        <v>2016</v>
      </c>
      <c r="F196" s="98" t="s">
        <v>2017</v>
      </c>
      <c r="G196" s="100" t="s">
        <v>2018</v>
      </c>
      <c r="H196" s="98" t="s">
        <v>2019</v>
      </c>
      <c r="I196" s="98" t="s">
        <v>2020</v>
      </c>
      <c r="J196" s="98" t="s">
        <v>2021</v>
      </c>
      <c r="K196" s="98" t="s">
        <v>2022</v>
      </c>
      <c r="L196" s="111" t="s">
        <v>115</v>
      </c>
      <c r="M196" s="98" t="s">
        <v>2015</v>
      </c>
      <c r="N196" s="98" t="s">
        <v>771</v>
      </c>
      <c r="O196" s="102" t="s">
        <v>1425</v>
      </c>
    </row>
    <row r="197" spans="1:15" ht="70.05" customHeight="1" x14ac:dyDescent="0.3">
      <c r="A197" s="103">
        <v>196</v>
      </c>
      <c r="B197" s="104"/>
      <c r="C197" s="105"/>
      <c r="D197" s="106" t="s">
        <v>1727</v>
      </c>
      <c r="E197" s="107" t="s">
        <v>2023</v>
      </c>
      <c r="F197" s="106" t="s">
        <v>2024</v>
      </c>
      <c r="G197" s="108" t="s">
        <v>2025</v>
      </c>
      <c r="H197" s="106" t="s">
        <v>2026</v>
      </c>
      <c r="I197" s="106" t="s">
        <v>2027</v>
      </c>
      <c r="J197" s="106" t="s">
        <v>2028</v>
      </c>
      <c r="K197" s="106" t="s">
        <v>2029</v>
      </c>
      <c r="L197" s="113" t="s">
        <v>115</v>
      </c>
      <c r="M197" s="106" t="s">
        <v>2030</v>
      </c>
      <c r="N197" s="106" t="s">
        <v>771</v>
      </c>
      <c r="O197" s="110" t="s">
        <v>1425</v>
      </c>
    </row>
    <row r="198" spans="1:15" ht="70.05" customHeight="1" x14ac:dyDescent="0.3">
      <c r="A198" s="95">
        <v>197</v>
      </c>
      <c r="B198" s="104"/>
      <c r="C198" s="105"/>
      <c r="D198" s="98" t="s">
        <v>1727</v>
      </c>
      <c r="E198" s="99" t="s">
        <v>2031</v>
      </c>
      <c r="F198" s="98" t="s">
        <v>2032</v>
      </c>
      <c r="G198" s="100" t="s">
        <v>2033</v>
      </c>
      <c r="H198" s="98" t="s">
        <v>2034</v>
      </c>
      <c r="I198" s="98" t="s">
        <v>2035</v>
      </c>
      <c r="J198" s="98" t="s">
        <v>2036</v>
      </c>
      <c r="K198" s="98" t="s">
        <v>2037</v>
      </c>
      <c r="L198" s="111" t="s">
        <v>115</v>
      </c>
      <c r="M198" s="98" t="s">
        <v>2038</v>
      </c>
      <c r="N198" s="98" t="s">
        <v>771</v>
      </c>
      <c r="O198" s="102" t="s">
        <v>1905</v>
      </c>
    </row>
    <row r="199" spans="1:15" ht="70.05" customHeight="1" x14ac:dyDescent="0.3">
      <c r="A199" s="103">
        <v>198</v>
      </c>
      <c r="B199" s="104"/>
      <c r="C199" s="105"/>
      <c r="D199" s="106" t="s">
        <v>1727</v>
      </c>
      <c r="E199" s="107" t="s">
        <v>2039</v>
      </c>
      <c r="F199" s="106" t="s">
        <v>2040</v>
      </c>
      <c r="G199" s="108" t="s">
        <v>2041</v>
      </c>
      <c r="H199" s="106" t="s">
        <v>2042</v>
      </c>
      <c r="I199" s="106" t="s">
        <v>2043</v>
      </c>
      <c r="J199" s="106" t="s">
        <v>2044</v>
      </c>
      <c r="K199" s="106" t="s">
        <v>2045</v>
      </c>
      <c r="L199" s="113" t="s">
        <v>115</v>
      </c>
      <c r="M199" s="106" t="s">
        <v>2046</v>
      </c>
      <c r="N199" s="106" t="s">
        <v>1691</v>
      </c>
      <c r="O199" s="110" t="s">
        <v>1425</v>
      </c>
    </row>
    <row r="200" spans="1:15" ht="70.05" customHeight="1" x14ac:dyDescent="0.3">
      <c r="A200" s="95">
        <v>199</v>
      </c>
      <c r="B200" s="104"/>
      <c r="C200" s="105"/>
      <c r="D200" s="98" t="s">
        <v>1991</v>
      </c>
      <c r="E200" s="99" t="s">
        <v>2047</v>
      </c>
      <c r="F200" s="98" t="s">
        <v>2048</v>
      </c>
      <c r="G200" s="100" t="s">
        <v>2049</v>
      </c>
      <c r="H200" s="98" t="s">
        <v>2050</v>
      </c>
      <c r="I200" s="98" t="s">
        <v>2051</v>
      </c>
      <c r="J200" s="98" t="s">
        <v>2052</v>
      </c>
      <c r="K200" s="98" t="s">
        <v>2053</v>
      </c>
      <c r="L200" s="101" t="s">
        <v>136</v>
      </c>
      <c r="M200" s="98" t="s">
        <v>2054</v>
      </c>
      <c r="N200" s="98" t="s">
        <v>2055</v>
      </c>
      <c r="O200" s="102" t="s">
        <v>1425</v>
      </c>
    </row>
    <row r="201" spans="1:15" ht="70.05" customHeight="1" x14ac:dyDescent="0.3">
      <c r="A201" s="103">
        <v>200</v>
      </c>
      <c r="B201" s="104"/>
      <c r="C201" s="105"/>
      <c r="D201" s="106" t="s">
        <v>1991</v>
      </c>
      <c r="E201" s="107" t="s">
        <v>2056</v>
      </c>
      <c r="F201" s="106" t="s">
        <v>2057</v>
      </c>
      <c r="G201" s="108" t="s">
        <v>2058</v>
      </c>
      <c r="H201" s="106" t="s">
        <v>2059</v>
      </c>
      <c r="I201" s="106" t="s">
        <v>2060</v>
      </c>
      <c r="J201" s="106" t="s">
        <v>2061</v>
      </c>
      <c r="K201" s="106" t="s">
        <v>2062</v>
      </c>
      <c r="L201" s="113" t="s">
        <v>115</v>
      </c>
      <c r="M201" s="106" t="s">
        <v>2063</v>
      </c>
      <c r="N201" s="106" t="s">
        <v>771</v>
      </c>
      <c r="O201" s="110" t="s">
        <v>1700</v>
      </c>
    </row>
  </sheetData>
  <autoFilter ref="A1:O201" xr:uid="{00000000-0009-0000-0000-000002000000}"/>
  <mergeCells count="52">
    <mergeCell ref="B73:B86"/>
    <mergeCell ref="B123:B124"/>
    <mergeCell ref="C13:C14"/>
    <mergeCell ref="B193:B201"/>
    <mergeCell ref="C177:C179"/>
    <mergeCell ref="B114:B117"/>
    <mergeCell ref="C180:C182"/>
    <mergeCell ref="C145:C157"/>
    <mergeCell ref="B177:B182"/>
    <mergeCell ref="C135:C142"/>
    <mergeCell ref="B173:B176"/>
    <mergeCell ref="C15:C16"/>
    <mergeCell ref="C96:C101"/>
    <mergeCell ref="C168:C172"/>
    <mergeCell ref="C111:C112"/>
    <mergeCell ref="C34:C53"/>
    <mergeCell ref="C185:C187"/>
    <mergeCell ref="C2:C7"/>
    <mergeCell ref="C118:C120"/>
    <mergeCell ref="C67:C70"/>
    <mergeCell ref="C8:C12"/>
    <mergeCell ref="B185:B192"/>
    <mergeCell ref="B165:B172"/>
    <mergeCell ref="C121:C122"/>
    <mergeCell ref="C165:C167"/>
    <mergeCell ref="C54:C55"/>
    <mergeCell ref="C77:C79"/>
    <mergeCell ref="B158:B164"/>
    <mergeCell ref="C56:C66"/>
    <mergeCell ref="C17:C25"/>
    <mergeCell ref="C123:C124"/>
    <mergeCell ref="C87:C89"/>
    <mergeCell ref="C26:C33"/>
    <mergeCell ref="B2:B55"/>
    <mergeCell ref="C173:C174"/>
    <mergeCell ref="C90:C95"/>
    <mergeCell ref="C80:C86"/>
    <mergeCell ref="C193:C201"/>
    <mergeCell ref="B56:B70"/>
    <mergeCell ref="C126:C129"/>
    <mergeCell ref="C175:C176"/>
    <mergeCell ref="B118:B122"/>
    <mergeCell ref="C188:C192"/>
    <mergeCell ref="C73:C76"/>
    <mergeCell ref="B130:B142"/>
    <mergeCell ref="B125:B129"/>
    <mergeCell ref="C158:C164"/>
    <mergeCell ref="B144:B157"/>
    <mergeCell ref="C114:C117"/>
    <mergeCell ref="C102:C110"/>
    <mergeCell ref="C130:C133"/>
    <mergeCell ref="B87:B1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sheetView>
  </sheetViews>
  <sheetFormatPr baseColWidth="10" defaultColWidth="8.88671875" defaultRowHeight="14.4" x14ac:dyDescent="0.3"/>
  <cols>
    <col min="1" max="1" width="55" customWidth="1"/>
    <col min="2" max="2" width="15" customWidth="1"/>
    <col min="3" max="3" width="12" customWidth="1"/>
  </cols>
  <sheetData>
    <row r="1" spans="1:3" x14ac:dyDescent="0.3">
      <c r="A1" s="73" t="s">
        <v>194</v>
      </c>
      <c r="B1" s="73" t="s">
        <v>2064</v>
      </c>
      <c r="C1" s="73" t="s">
        <v>2065</v>
      </c>
    </row>
    <row r="2" spans="1:3" ht="15.6" x14ac:dyDescent="0.3">
      <c r="A2" s="74" t="s">
        <v>7</v>
      </c>
      <c r="B2" s="75">
        <v>54</v>
      </c>
      <c r="C2" s="76" t="s">
        <v>2066</v>
      </c>
    </row>
    <row r="3" spans="1:3" ht="15.6" x14ac:dyDescent="0.3">
      <c r="A3" s="77" t="s">
        <v>696</v>
      </c>
      <c r="B3" s="78">
        <v>17</v>
      </c>
      <c r="C3" s="79" t="s">
        <v>2067</v>
      </c>
    </row>
    <row r="4" spans="1:3" ht="15.6" x14ac:dyDescent="0.3">
      <c r="A4" s="80" t="s">
        <v>861</v>
      </c>
      <c r="B4" s="75">
        <v>14</v>
      </c>
      <c r="C4" s="76" t="s">
        <v>2068</v>
      </c>
    </row>
    <row r="5" spans="1:3" ht="15.6" x14ac:dyDescent="0.3">
      <c r="A5" s="81" t="s">
        <v>995</v>
      </c>
      <c r="B5" s="78">
        <v>43</v>
      </c>
      <c r="C5" s="79" t="s">
        <v>2069</v>
      </c>
    </row>
    <row r="6" spans="1:3" ht="15.6" x14ac:dyDescent="0.3">
      <c r="A6" s="82" t="s">
        <v>1403</v>
      </c>
      <c r="B6" s="75">
        <v>28</v>
      </c>
      <c r="C6" s="76" t="s">
        <v>2070</v>
      </c>
    </row>
    <row r="7" spans="1:3" ht="15.6" x14ac:dyDescent="0.3">
      <c r="A7" s="83" t="s">
        <v>1662</v>
      </c>
      <c r="B7" s="78">
        <v>44</v>
      </c>
      <c r="C7" s="79" t="s">
        <v>2071</v>
      </c>
    </row>
    <row r="8" spans="1:3" x14ac:dyDescent="0.3">
      <c r="A8" s="84" t="s">
        <v>2072</v>
      </c>
      <c r="B8" s="84">
        <v>200</v>
      </c>
      <c r="C8" s="84" t="s">
        <v>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pane ySplit="1" topLeftCell="A14" activePane="bottomLeft" state="frozen"/>
      <selection pane="bottomLeft" activeCell="G19" sqref="A1:G19"/>
    </sheetView>
  </sheetViews>
  <sheetFormatPr baseColWidth="10" defaultColWidth="8.88671875" defaultRowHeight="14.4" x14ac:dyDescent="0.3"/>
  <cols>
    <col min="1" max="1" width="4" customWidth="1"/>
    <col min="2" max="2" width="40" customWidth="1"/>
    <col min="3" max="3" width="8" customWidth="1"/>
    <col min="4" max="5" width="15" customWidth="1"/>
    <col min="6" max="6" width="12" customWidth="1"/>
    <col min="7" max="7" width="50" customWidth="1"/>
  </cols>
  <sheetData>
    <row r="1" spans="1:7" x14ac:dyDescent="0.3">
      <c r="A1" s="4" t="s">
        <v>2073</v>
      </c>
      <c r="B1" s="4" t="s">
        <v>2074</v>
      </c>
      <c r="C1" s="4" t="s">
        <v>2075</v>
      </c>
      <c r="D1" s="4" t="s">
        <v>2076</v>
      </c>
      <c r="E1" s="4" t="s">
        <v>2077</v>
      </c>
      <c r="F1" s="4" t="s">
        <v>2078</v>
      </c>
      <c r="G1" s="4" t="s">
        <v>2079</v>
      </c>
    </row>
    <row r="2" spans="1:7" ht="49.95" customHeight="1" x14ac:dyDescent="0.3">
      <c r="A2" s="5">
        <v>1</v>
      </c>
      <c r="B2" s="6" t="s">
        <v>2080</v>
      </c>
      <c r="C2" s="5" t="s">
        <v>2081</v>
      </c>
      <c r="D2" s="7" t="s">
        <v>2082</v>
      </c>
      <c r="E2" s="7" t="s">
        <v>2083</v>
      </c>
      <c r="F2" s="1" t="s">
        <v>2084</v>
      </c>
      <c r="G2" s="8" t="s">
        <v>2085</v>
      </c>
    </row>
    <row r="3" spans="1:7" ht="49.95" customHeight="1" x14ac:dyDescent="0.3">
      <c r="A3" s="9">
        <v>2</v>
      </c>
      <c r="B3" s="10" t="s">
        <v>2086</v>
      </c>
      <c r="C3" s="9" t="s">
        <v>2087</v>
      </c>
      <c r="D3" s="11" t="s">
        <v>2088</v>
      </c>
      <c r="E3" s="11" t="s">
        <v>2089</v>
      </c>
      <c r="F3" s="3" t="s">
        <v>2084</v>
      </c>
      <c r="G3" s="12" t="s">
        <v>2090</v>
      </c>
    </row>
    <row r="4" spans="1:7" ht="49.95" customHeight="1" x14ac:dyDescent="0.3">
      <c r="A4" s="5">
        <v>3</v>
      </c>
      <c r="B4" s="6" t="s">
        <v>2091</v>
      </c>
      <c r="C4" s="5" t="s">
        <v>2087</v>
      </c>
      <c r="D4" s="7" t="s">
        <v>2092</v>
      </c>
      <c r="E4" s="7" t="s">
        <v>2083</v>
      </c>
      <c r="F4" s="1" t="s">
        <v>2084</v>
      </c>
      <c r="G4" s="8" t="s">
        <v>2093</v>
      </c>
    </row>
    <row r="5" spans="1:7" ht="49.95" customHeight="1" x14ac:dyDescent="0.3">
      <c r="A5" s="9">
        <v>4</v>
      </c>
      <c r="B5" s="10" t="s">
        <v>2094</v>
      </c>
      <c r="C5" s="9" t="s">
        <v>2095</v>
      </c>
      <c r="D5" s="11" t="s">
        <v>2096</v>
      </c>
      <c r="E5" s="11" t="s">
        <v>2089</v>
      </c>
      <c r="F5" s="3" t="s">
        <v>2084</v>
      </c>
      <c r="G5" s="12" t="s">
        <v>2097</v>
      </c>
    </row>
    <row r="6" spans="1:7" ht="49.95" customHeight="1" x14ac:dyDescent="0.3">
      <c r="A6" s="5">
        <v>5</v>
      </c>
      <c r="B6" s="6" t="s">
        <v>2098</v>
      </c>
      <c r="C6" s="5" t="s">
        <v>2095</v>
      </c>
      <c r="D6" s="7" t="s">
        <v>2099</v>
      </c>
      <c r="E6" s="7" t="s">
        <v>771</v>
      </c>
      <c r="F6" s="1" t="s">
        <v>2084</v>
      </c>
      <c r="G6" s="8" t="s">
        <v>2100</v>
      </c>
    </row>
    <row r="7" spans="1:7" ht="49.95" customHeight="1" x14ac:dyDescent="0.3">
      <c r="A7" s="9">
        <v>6</v>
      </c>
      <c r="B7" s="10" t="s">
        <v>2101</v>
      </c>
      <c r="C7" s="9" t="s">
        <v>2102</v>
      </c>
      <c r="D7" s="11" t="s">
        <v>2103</v>
      </c>
      <c r="E7" s="11" t="s">
        <v>2104</v>
      </c>
      <c r="F7" s="3" t="s">
        <v>2084</v>
      </c>
      <c r="G7" s="12" t="s">
        <v>2105</v>
      </c>
    </row>
    <row r="8" spans="1:7" ht="49.95" customHeight="1" x14ac:dyDescent="0.3">
      <c r="A8" s="5">
        <v>7</v>
      </c>
      <c r="B8" s="6" t="s">
        <v>2106</v>
      </c>
      <c r="C8" s="5" t="s">
        <v>2102</v>
      </c>
      <c r="D8" s="7" t="s">
        <v>2107</v>
      </c>
      <c r="E8" s="7" t="s">
        <v>2104</v>
      </c>
      <c r="F8" s="1" t="s">
        <v>2084</v>
      </c>
      <c r="G8" s="8" t="s">
        <v>2108</v>
      </c>
    </row>
    <row r="9" spans="1:7" ht="49.95" customHeight="1" x14ac:dyDescent="0.3">
      <c r="A9" s="9">
        <v>8</v>
      </c>
      <c r="B9" s="10" t="s">
        <v>2109</v>
      </c>
      <c r="C9" s="9" t="s">
        <v>2110</v>
      </c>
      <c r="D9" s="11" t="s">
        <v>2111</v>
      </c>
      <c r="E9" s="11" t="s">
        <v>2112</v>
      </c>
      <c r="F9" s="3" t="s">
        <v>2084</v>
      </c>
      <c r="G9" s="12" t="s">
        <v>2113</v>
      </c>
    </row>
    <row r="10" spans="1:7" ht="49.95" customHeight="1" x14ac:dyDescent="0.3">
      <c r="A10" s="5">
        <v>9</v>
      </c>
      <c r="B10" s="6" t="s">
        <v>2114</v>
      </c>
      <c r="C10" s="5" t="s">
        <v>2110</v>
      </c>
      <c r="D10" s="7" t="s">
        <v>2115</v>
      </c>
      <c r="E10" s="7" t="s">
        <v>771</v>
      </c>
      <c r="F10" s="1" t="s">
        <v>2116</v>
      </c>
      <c r="G10" s="8" t="s">
        <v>2117</v>
      </c>
    </row>
    <row r="11" spans="1:7" ht="49.95" customHeight="1" x14ac:dyDescent="0.3">
      <c r="A11" s="9">
        <v>10</v>
      </c>
      <c r="B11" s="10" t="s">
        <v>2118</v>
      </c>
      <c r="C11" s="9" t="s">
        <v>2119</v>
      </c>
      <c r="D11" s="11" t="s">
        <v>2120</v>
      </c>
      <c r="E11" s="11" t="s">
        <v>2121</v>
      </c>
      <c r="F11" s="3" t="s">
        <v>2122</v>
      </c>
      <c r="G11" s="12" t="s">
        <v>2123</v>
      </c>
    </row>
    <row r="12" spans="1:7" ht="49.95" customHeight="1" x14ac:dyDescent="0.3">
      <c r="A12" s="5">
        <v>11</v>
      </c>
      <c r="B12" s="6" t="s">
        <v>2124</v>
      </c>
      <c r="C12" s="5" t="s">
        <v>2125</v>
      </c>
      <c r="D12" s="7" t="s">
        <v>2126</v>
      </c>
      <c r="E12" s="7" t="s">
        <v>2089</v>
      </c>
      <c r="F12" s="2" t="s">
        <v>2127</v>
      </c>
      <c r="G12" s="8" t="s">
        <v>2128</v>
      </c>
    </row>
    <row r="13" spans="1:7" ht="49.95" customHeight="1" x14ac:dyDescent="0.3">
      <c r="A13" s="9">
        <v>12</v>
      </c>
      <c r="B13" s="10" t="s">
        <v>2129</v>
      </c>
      <c r="C13" s="9" t="s">
        <v>2130</v>
      </c>
      <c r="D13" s="11" t="s">
        <v>2131</v>
      </c>
      <c r="E13" s="11" t="s">
        <v>1156</v>
      </c>
      <c r="F13" s="3" t="s">
        <v>2122</v>
      </c>
      <c r="G13" s="12" t="s">
        <v>2132</v>
      </c>
    </row>
    <row r="14" spans="1:7" ht="49.95" customHeight="1" x14ac:dyDescent="0.3">
      <c r="A14" s="5">
        <v>13</v>
      </c>
      <c r="B14" s="6" t="s">
        <v>809</v>
      </c>
      <c r="C14" s="5" t="s">
        <v>2133</v>
      </c>
      <c r="D14" s="7" t="s">
        <v>2115</v>
      </c>
      <c r="E14" s="7" t="s">
        <v>2134</v>
      </c>
      <c r="F14" s="1" t="s">
        <v>2116</v>
      </c>
      <c r="G14" s="8" t="s">
        <v>2135</v>
      </c>
    </row>
    <row r="15" spans="1:7" ht="49.95" customHeight="1" x14ac:dyDescent="0.3">
      <c r="A15" s="9">
        <v>14</v>
      </c>
      <c r="B15" s="10" t="s">
        <v>2136</v>
      </c>
      <c r="C15" s="9" t="s">
        <v>2133</v>
      </c>
      <c r="D15" s="11" t="s">
        <v>2137</v>
      </c>
      <c r="E15" s="11" t="s">
        <v>771</v>
      </c>
      <c r="F15" s="3" t="s">
        <v>2138</v>
      </c>
      <c r="G15" s="12" t="s">
        <v>2139</v>
      </c>
    </row>
    <row r="16" spans="1:7" ht="49.95" customHeight="1" x14ac:dyDescent="0.3">
      <c r="A16" s="5">
        <v>15</v>
      </c>
      <c r="B16" s="6" t="s">
        <v>2140</v>
      </c>
      <c r="C16" s="5" t="s">
        <v>2141</v>
      </c>
      <c r="D16" s="7" t="s">
        <v>2115</v>
      </c>
      <c r="E16" s="7" t="s">
        <v>771</v>
      </c>
      <c r="F16" s="1" t="s">
        <v>2116</v>
      </c>
      <c r="G16" s="8" t="s">
        <v>2142</v>
      </c>
    </row>
    <row r="17" spans="1:7" ht="49.95" customHeight="1" x14ac:dyDescent="0.3">
      <c r="A17" s="9">
        <v>16</v>
      </c>
      <c r="B17" s="10" t="s">
        <v>2143</v>
      </c>
      <c r="C17" s="9" t="s">
        <v>2144</v>
      </c>
      <c r="D17" s="11" t="s">
        <v>2115</v>
      </c>
      <c r="E17" s="11" t="s">
        <v>771</v>
      </c>
      <c r="F17" s="3" t="s">
        <v>2116</v>
      </c>
      <c r="G17" s="12" t="s">
        <v>2145</v>
      </c>
    </row>
    <row r="18" spans="1:7" ht="49.95" customHeight="1" x14ac:dyDescent="0.3">
      <c r="A18" s="5">
        <v>17</v>
      </c>
      <c r="B18" s="6" t="s">
        <v>2146</v>
      </c>
      <c r="C18" s="5" t="s">
        <v>2133</v>
      </c>
      <c r="D18" s="7" t="s">
        <v>2147</v>
      </c>
      <c r="E18" s="7" t="s">
        <v>2148</v>
      </c>
      <c r="F18" s="1" t="s">
        <v>2122</v>
      </c>
      <c r="G18" s="8" t="s">
        <v>2149</v>
      </c>
    </row>
    <row r="19" spans="1:7" ht="49.95" customHeight="1" x14ac:dyDescent="0.3">
      <c r="A19" s="9">
        <v>18</v>
      </c>
      <c r="B19" s="10" t="s">
        <v>2150</v>
      </c>
      <c r="C19" s="9" t="s">
        <v>2151</v>
      </c>
      <c r="D19" s="11" t="s">
        <v>2152</v>
      </c>
      <c r="E19" s="11" t="s">
        <v>2153</v>
      </c>
      <c r="F19" s="3" t="s">
        <v>2154</v>
      </c>
      <c r="G19" s="12" t="s">
        <v>2155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Ejes Estrategicos</vt:lpstr>
      <vt:lpstr>Desarrollo Comunitario</vt:lpstr>
      <vt:lpstr>Convergencia PLADECO-Programa</vt:lpstr>
      <vt:lpstr>Resumen Convergencia</vt:lpstr>
      <vt:lpstr>Infraestructura Existente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Osvaldo Mañan</cp:lastModifiedBy>
  <dcterms:created xsi:type="dcterms:W3CDTF">2026-04-07T17:53:03Z</dcterms:created>
  <dcterms:modified xsi:type="dcterms:W3CDTF">2026-04-09T23:39:38Z</dcterms:modified>
</cp:coreProperties>
</file>