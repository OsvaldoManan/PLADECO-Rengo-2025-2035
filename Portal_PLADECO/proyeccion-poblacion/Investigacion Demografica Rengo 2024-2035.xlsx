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yección Comunal" sheetId="1" r:id="rId4"/>
    <sheet state="visible" name="Estructura Etaria" sheetId="2" r:id="rId5"/>
    <sheet state="visible" name="Distritos 2024" sheetId="3" r:id="rId6"/>
    <sheet state="visible" name="Comparativo 2024-2035" sheetId="4" r:id="rId7"/>
    <sheet state="visible" name="Serie INE b2017" sheetId="5" r:id="rId8"/>
    <sheet state="visible" name="Metodología" sheetId="6" r:id="rId9"/>
    <sheet state="visible" name="Parámetros" sheetId="7" r:id="rId10"/>
  </sheets>
  <definedNames/>
  <calcPr/>
  <extLst>
    <ext uri="GoogleSheetsCustomDataVersion2">
      <go:sheetsCustomData xmlns:go="http://customooxmlschemas.google.com/" r:id="rId11" roundtripDataChecksum="D4ZvngcjYJjP5wLbTGkaMehWhS3fQZrdsdVmWpBA2JA="/>
    </ext>
  </extLst>
</workbook>
</file>

<file path=xl/sharedStrings.xml><?xml version="1.0" encoding="utf-8"?>
<sst xmlns="http://schemas.openxmlformats.org/spreadsheetml/2006/main" count="171" uniqueCount="149">
  <si>
    <t>Proyección de Población — Rengo 2024–2035</t>
  </si>
  <si>
    <t>Año</t>
  </si>
  <si>
    <t>Geométrico</t>
  </si>
  <si>
    <t>Polinomial</t>
  </si>
  <si>
    <t>Logístico</t>
  </si>
  <si>
    <t>INE corr.</t>
  </si>
  <si>
    <t>Componentes</t>
  </si>
  <si>
    <t>Bajo</t>
  </si>
  <si>
    <t>Medio</t>
  </si>
  <si>
    <t>Alto</t>
  </si>
  <si>
    <t>FÓRMULAS POR MÉTODO:</t>
  </si>
  <si>
    <t>• Geométrico: P(t) = Censo2024 × (1 + r)^(año−2024), con r de la hoja Parámetros.</t>
  </si>
  <si>
    <t>• Polinomial: P(t) = a + b·(año−2002) + c·(año−2002)², parábola ajustada a los censos 2002/2017/2024.</t>
  </si>
  <si>
    <t>• Logístico (Verhulst): P(t) = K / (1 + A·e^(−r·(año−2024))).</t>
  </si>
  <si>
    <t>• INE corr.: serie INE base 2017 (original) × factor de corrección 0,9638.</t>
  </si>
  <si>
    <t>• Componentes: P(t) = P(t−1) × (1 + tasa_neta(t)/1000); la tasa neta parte en 5,855‰ y decrece 0,325‰/año.</t>
  </si>
  <si>
    <t>• Bajo / Medio / Alto: mínimo, mediana y máximo de los cinco métodos en cada año (=MIN, =MEDIAN, =MAX).</t>
  </si>
  <si>
    <t>Fuente: Elaboración propia a partir de Censos INE 2002/2017/2024 y EEPP base 2017.</t>
  </si>
  <si>
    <t>Estructura Etaria y Dependencia — Escenario Medio</t>
  </si>
  <si>
    <t>Población</t>
  </si>
  <si>
    <t>0-14</t>
  </si>
  <si>
    <t>15-64</t>
  </si>
  <si>
    <t>65+</t>
  </si>
  <si>
    <t>% 0-14</t>
  </si>
  <si>
    <t>% 65+</t>
  </si>
  <si>
    <t>IE</t>
  </si>
  <si>
    <t>Dep. total</t>
  </si>
  <si>
    <t>Dep. juvenil</t>
  </si>
  <si>
    <t>Dep. vejez</t>
  </si>
  <si>
    <t>FÓRMULAS:</t>
  </si>
  <si>
    <t>• Población = escenario Medio de la hoja Proyección Comunal (vínculo).</t>
  </si>
  <si>
    <t>• 0-14 y 65+ = salida del modelo de estructura etaria (interpolación 2017-2024 + extrapolación tendencial, calibrada al Censo 2024).</t>
  </si>
  <si>
    <t>• 15-64 = Población − (0-14) − (65+).   • % 0-14 = (0-14)/Población.   • % 65+ = (65+)/Población.</t>
  </si>
  <si>
    <t>• IE = (65+)/(0-14)×100.   • Dep. total = (0-14 + 65+)/(15-64)×100.   • Dep. juvenil = (0-14)/(15-64)×100.   • Dep. vejez = (65+)/(15-64)×100.</t>
  </si>
  <si>
    <t>Perfil Demográfico por Distrito — Censo 2024</t>
  </si>
  <si>
    <t>Distrito</t>
  </si>
  <si>
    <t>Tipo</t>
  </si>
  <si>
    <t>Hombres</t>
  </si>
  <si>
    <t>Mujeres</t>
  </si>
  <si>
    <t>IM</t>
  </si>
  <si>
    <t>Hogares</t>
  </si>
  <si>
    <t>Ocupados</t>
  </si>
  <si>
    <t>Desocupados</t>
  </si>
  <si>
    <t>Desoc.%</t>
  </si>
  <si>
    <t>Inmigrantes</t>
  </si>
  <si>
    <t>PP.OO.</t>
  </si>
  <si>
    <t>CÓBIL</t>
  </si>
  <si>
    <t>rural</t>
  </si>
  <si>
    <t>CHAPETÓN</t>
  </si>
  <si>
    <t>mixto</t>
  </si>
  <si>
    <t>MALAMBO</t>
  </si>
  <si>
    <t>CÉSARES</t>
  </si>
  <si>
    <t>urbano</t>
  </si>
  <si>
    <t>POPETA</t>
  </si>
  <si>
    <t>CHANQUEAHUE</t>
  </si>
  <si>
    <t>LO DE LOBO</t>
  </si>
  <si>
    <t>ROSARIO</t>
  </si>
  <si>
    <t>APALTA</t>
  </si>
  <si>
    <t>ROSARIO PONIENTE</t>
  </si>
  <si>
    <t>ESMERALDA</t>
  </si>
  <si>
    <t>TOTAL COMUNA</t>
  </si>
  <si>
    <t>• IE (índice de envejecimiento) = (65+)/(0-14)×100.   • IM (índice de masculinidad) = Hombres/Mujeres×100.</t>
  </si>
  <si>
    <t>• Desoc.% = Desocupados/(Ocupados + Desocupados)×100.   Datos de conteo: base manzana-entidad Censo 2024 (georreferenciados).</t>
  </si>
  <si>
    <t>Nota: MALAMBO sin población georreferenciada (n_per=0); sus indicadores quedan vacíos.</t>
  </si>
  <si>
    <t>Comparativo Distrital — 2024 vs. 2035 (escenario medio)</t>
  </si>
  <si>
    <t>Pob. 2024</t>
  </si>
  <si>
    <t>Pob. 2035</t>
  </si>
  <si>
    <t>Var.%</t>
  </si>
  <si>
    <t>IE 2024</t>
  </si>
  <si>
    <t>IE 2035</t>
  </si>
  <si>
    <t>Δ IE</t>
  </si>
  <si>
    <t>aux: Censo 2017</t>
  </si>
  <si>
    <t>part. 2017</t>
  </si>
  <si>
    <t>part. 2024</t>
  </si>
  <si>
    <t>part. 2035</t>
  </si>
  <si>
    <t>• Pob. 2024 = vínculo a Distritos 2024.   • Var.% = (Pob.2035 − Pob.2024)/Pob.2024.</t>
  </si>
  <si>
    <t>• Pob. 2035 = shift-share dinámico: participación 2035 (extrapolada de 2017→2024) normalizada × total georref. 2024 × crecimiento comunal Medio (H15/H4).</t>
  </si>
  <si>
    <t>• IE 2035 = IE 2024 × (IE comunal 2035 / IE comunal 2024).   • Δ IE = IE 2035 − IE 2024.</t>
  </si>
  <si>
    <t>CORRECCIÓN METODOLÓGICA: el shift-share se ancla al crecimiento comunal (escenario Medio), por lo que el total distrital 2035 crece de forma consistente con la proyección comunal. La versión previa proyectaba un total distrital decreciente, inconsistente con la proyección comunal.</t>
  </si>
  <si>
    <t>Fuente: Elaboración propia. Censo 2024 + Censo 2017 (participaciones) + proyección comunal Medio.</t>
  </si>
  <si>
    <t>Serie INE Base 2017 — Referencia</t>
  </si>
  <si>
    <t>INE original</t>
  </si>
  <si>
    <t>INE corregido</t>
  </si>
  <si>
    <t>FÓRMULA: INE corregido = INE original × factor de corrección (0,9638).</t>
  </si>
  <si>
    <t>NOTA METODOLÓGICA</t>
  </si>
  <si>
    <t>FUENTES</t>
  </si>
  <si>
    <t>• Censo 2024 INE: base manzana-entidad GeoParquet, 894 registros, 218 variables.</t>
  </si>
  <si>
    <t>• Censo 2017 INE: 58.825 hab. | Censo 2002 INE: 50.830 hab.</t>
  </si>
  <si>
    <t>• Población oficial 2024: 63.620 hab. | Georreferenciados: 55.918 (87,9%).</t>
  </si>
  <si>
    <t>MÉTODOS DE PROYECCIÓN (todos implementados como fórmulas vivas en cada hoja)</t>
  </si>
  <si>
    <t>1. Geométrico:  P(t) = P₀ × (1 + r)^(t−2024),  r = 1,0669%.</t>
  </si>
  <si>
    <t>2. Polinomial cuadrático:  P(t) = a + b·(t−2002) + c·(t−2002)², parábola por los 3 censos.</t>
  </si>
  <si>
    <t>3. Logístico (Verhulst):  P(t) = K / (1 + A·e^(−r·(t−2024))),  K=122.101, A=0,928, r=1,896%.</t>
  </si>
  <si>
    <t>4. INE corregido:  serie EEPP base 2017 × factor 0,9638.</t>
  </si>
  <si>
    <t>5. Componentes:  P(t) = P(t−1)×(1 + tasa_neta/1000); tasa neta 5,855‰ en 2025, −0,325‰/año.</t>
  </si>
  <si>
    <t xml:space="preserve">   (natalidad 12,2‰, mortalidad 6,0‰, migración +0,2‰ en el año base; el neto decrece por envejecimiento)</t>
  </si>
  <si>
    <t>ESCENARIOS:  Bajo = MIN, Medio = MEDIAN, Alto = MAX de los 5 métodos (fórmulas por año).</t>
  </si>
  <si>
    <t>ESTRUCTURA ETARIA:  0-14 y 65+ por interpolación 2017-2024 + extrapolación tendencial,</t>
  </si>
  <si>
    <t>calibrada a los totales INE 2024 (0-14=12.203 | 15-64=42.621 | 65+=8.796).</t>
  </si>
  <si>
    <t>15-64, %, IE y razones de dependencia se calculan por fórmula.</t>
  </si>
  <si>
    <t>PROYECCIÓN DISTRITAL (Comparativo):  shift-share dinámico anclado al crecimiento comunal del</t>
  </si>
  <si>
    <t>escenario Medio, de modo que el total distrital 2035 es consistente con la proyección comunal.</t>
  </si>
  <si>
    <t>PARÁMETROS:  todos los supuestos están centralizados en la hoja 'Parámetros'. Cambiar un</t>
  </si>
  <si>
    <t>parámetro recalcula automáticamente todas las hojas.</t>
  </si>
  <si>
    <t>DATOS AUSENTES:  prom_edad con NA en 5 manzanas deshabitadas (n_per=0). No es dato faltante;</t>
  </si>
  <si>
    <t>es consecuencia de manzanas sin población.</t>
  </si>
  <si>
    <t>SECPLAC — PLADECO 2025–2035 — Mayo 2026</t>
  </si>
  <si>
    <t>PARÁMETROS Y SUPUESTOS DEL MODELO</t>
  </si>
  <si>
    <t>Parámetro</t>
  </si>
  <si>
    <t>Valor</t>
  </si>
  <si>
    <t>Unidad / Fuente</t>
  </si>
  <si>
    <t>Censo 2002 (INE)</t>
  </si>
  <si>
    <t>Censo 2002, INE</t>
  </si>
  <si>
    <t>Censo 2017 (INE)</t>
  </si>
  <si>
    <t>Censo 2017, INE</t>
  </si>
  <si>
    <t>Censo 2024 (INE)</t>
  </si>
  <si>
    <t>Censo 2024, INE</t>
  </si>
  <si>
    <t>Geométrico: tasa r</t>
  </si>
  <si>
    <t>Tasa media ponderada intercensal 2002-2024</t>
  </si>
  <si>
    <t>Polinomial: a</t>
  </si>
  <si>
    <t>Intercepto = P(2002)</t>
  </si>
  <si>
    <t>Polinomial: c</t>
  </si>
  <si>
    <t>Coef. cuadrático (parábola por 3 censos)</t>
  </si>
  <si>
    <t>Polinomial: b</t>
  </si>
  <si>
    <t>Coef. lineal (parábola por 3 censos)</t>
  </si>
  <si>
    <t>Logístico: K (techo)</t>
  </si>
  <si>
    <t>Capacidad de carga (ajuste Verhulst, L-M)</t>
  </si>
  <si>
    <t>Logístico: A</t>
  </si>
  <si>
    <t>Parámetro de forma (ajuste Verhulst)</t>
  </si>
  <si>
    <t>Logístico: r</t>
  </si>
  <si>
    <t>Tasa intrínseca (ajuste Verhulst)</t>
  </si>
  <si>
    <t>INE: factor de corrección</t>
  </si>
  <si>
    <t>Ajuste EEPP base 2017 a Censo 2024</t>
  </si>
  <si>
    <t>Componentes: tasa neta inicial 2025 (‰)</t>
  </si>
  <si>
    <t>Natalidad - mortalidad + migración neta, 2025</t>
  </si>
  <si>
    <t>Componentes: pendiente (‰/año)</t>
  </si>
  <si>
    <t>Descenso anual de la tasa neta (envejecimiento)</t>
  </si>
  <si>
    <t>Estructura: 0-14 en 2024</t>
  </si>
  <si>
    <t>Censo 2024, calibración INE</t>
  </si>
  <si>
    <t>Estructura: 15-64 en 2024</t>
  </si>
  <si>
    <t>Estructura: 65+ en 2024</t>
  </si>
  <si>
    <t>Comuna: IE 2024</t>
  </si>
  <si>
    <t>Índice de envejecimiento comunal 2024</t>
  </si>
  <si>
    <t>Comuna: IE 2035 (Medio)</t>
  </si>
  <si>
    <t>Vínculo: IE comunal proyectado 2035</t>
  </si>
  <si>
    <t>LEYENDA</t>
  </si>
  <si>
    <t>Azul = dato de entrad</t>
  </si>
  <si>
    <t>Negro = fórmula de cálculo</t>
  </si>
  <si>
    <t>Verde = vínculo entre hojas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</si>
</sst>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0.0"/>
    <numFmt numFmtId="166" formatCode="0.000"/>
    <numFmt numFmtId="167" formatCode="0.0000%"/>
    <numFmt numFmtId="168" formatCode="#,##0.000"/>
    <numFmt numFmtId="169" formatCode="#,##0.0000"/>
    <numFmt numFmtId="170" formatCode="#,##0.00000"/>
  </numFmts>
  <fonts count="11">
    <font>
      <sz val="11.0"/>
      <color theme="1"/>
      <name val="Calibri"/>
      <scheme val="minor"/>
    </font>
    <font>
      <b/>
      <sz val="13.0"/>
      <color rgb="FF1B2A4A"/>
      <name val="Arial"/>
    </font>
    <font>
      <b/>
      <sz val="10.0"/>
      <color rgb="FFFFFFFF"/>
      <name val="Arial"/>
    </font>
    <font>
      <sz val="10.0"/>
      <color rgb="FF0000FF"/>
      <name val="Arial"/>
    </font>
    <font>
      <sz val="10.0"/>
      <color rgb="FF000000"/>
      <name val="Arial"/>
    </font>
    <font>
      <sz val="10.0"/>
      <color rgb="FF008000"/>
      <name val="Arial"/>
    </font>
    <font>
      <b/>
      <sz val="10.0"/>
      <color rgb="FF1B2A4A"/>
      <name val="Arial"/>
    </font>
    <font>
      <sz val="9.0"/>
      <color rgb="FF595959"/>
      <name val="Arial"/>
    </font>
    <font>
      <i/>
      <sz val="9.0"/>
      <color rgb="FF595959"/>
      <name val="Arial"/>
    </font>
    <font>
      <b/>
      <sz val="10.0"/>
      <color rgb="FF000000"/>
      <name val="Arial"/>
    </font>
    <font>
      <color theme="1"/>
      <name val="Calibri"/>
      <scheme val="minor"/>
    </font>
  </fonts>
  <fills count="5">
    <fill>
      <patternFill patternType="none"/>
    </fill>
    <fill>
      <patternFill patternType="lightGray"/>
    </fill>
    <fill>
      <patternFill patternType="solid">
        <fgColor rgb="FF1B2A4A"/>
        <bgColor rgb="FF1B2A4A"/>
      </patternFill>
    </fill>
    <fill>
      <patternFill patternType="solid">
        <fgColor rgb="FFFFF8E7"/>
        <bgColor rgb="FFFFF8E7"/>
      </patternFill>
    </fill>
    <fill>
      <patternFill patternType="solid">
        <fgColor rgb="FFD9E1F2"/>
        <bgColor rgb="FFD9E1F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1" xfId="0" applyAlignment="1" applyBorder="1" applyFill="1" applyFont="1" applyNumberFormat="1">
      <alignment horizontal="center" shrinkToFit="0" vertical="center" wrapText="0"/>
    </xf>
    <xf borderId="1" fillId="3" fontId="3" numFmtId="1" xfId="0" applyAlignment="1" applyBorder="1" applyFill="1" applyFont="1" applyNumberFormat="1">
      <alignment horizontal="center" shrinkToFit="0" vertical="bottom" wrapText="0"/>
    </xf>
    <xf borderId="1" fillId="0" fontId="4" numFmtId="1" xfId="0" applyAlignment="1" applyBorder="1" applyFont="1" applyNumberFormat="1">
      <alignment horizontal="center" shrinkToFit="0" vertical="center" wrapText="0"/>
    </xf>
    <xf borderId="1" fillId="0" fontId="5" numFmtId="1" xfId="0" applyAlignment="1" applyBorder="1" applyFont="1" applyNumberFormat="1">
      <alignment horizontal="center" shrinkToFit="0" vertical="center" wrapText="0"/>
    </xf>
    <xf borderId="0" fillId="0" fontId="6" numFmtId="0" xfId="0" applyAlignment="1" applyFont="1">
      <alignment shrinkToFit="0" vertical="bottom" wrapText="0"/>
    </xf>
    <xf borderId="0" fillId="0" fontId="7" numFmtId="0" xfId="0" applyAlignment="1" applyFont="1">
      <alignment shrinkToFit="0" vertical="bottom" wrapText="0"/>
    </xf>
    <xf borderId="1" fillId="2" fontId="2" numFmtId="0" xfId="0" applyAlignment="1" applyBorder="1" applyFont="1">
      <alignment horizontal="center" shrinkToFit="0" vertical="center" wrapText="0"/>
    </xf>
    <xf borderId="1" fillId="0" fontId="5" numFmtId="3" xfId="0" applyAlignment="1" applyBorder="1" applyFont="1" applyNumberFormat="1">
      <alignment horizontal="center" shrinkToFit="0" vertical="center" wrapText="0"/>
    </xf>
    <xf borderId="1" fillId="3" fontId="3" numFmtId="3" xfId="0" applyAlignment="1" applyBorder="1" applyFont="1" applyNumberFormat="1">
      <alignment horizontal="center" shrinkToFit="0" vertical="center" wrapText="0"/>
    </xf>
    <xf borderId="1" fillId="0" fontId="4" numFmtId="3" xfId="0" applyAlignment="1" applyBorder="1" applyFont="1" applyNumberFormat="1">
      <alignment horizontal="center" shrinkToFit="0" vertical="center" wrapText="0"/>
    </xf>
    <xf borderId="1" fillId="0" fontId="4" numFmtId="164" xfId="0" applyAlignment="1" applyBorder="1" applyFont="1" applyNumberFormat="1">
      <alignment horizontal="center" shrinkToFit="0" vertical="center" wrapText="0"/>
    </xf>
    <xf borderId="0" fillId="0" fontId="8" numFmtId="0" xfId="0" applyAlignment="1" applyFont="1">
      <alignment shrinkToFit="0" vertical="bottom" wrapText="0"/>
    </xf>
    <xf borderId="1" fillId="2" fontId="2"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4" numFmtId="3" xfId="0" applyAlignment="1" applyBorder="1" applyFont="1" applyNumberFormat="1">
      <alignment horizontal="center" shrinkToFit="0" vertical="center" wrapText="1"/>
    </xf>
    <xf borderId="1" fillId="0" fontId="4" numFmtId="165" xfId="0" applyAlignment="1" applyBorder="1" applyFont="1" applyNumberFormat="1">
      <alignment horizontal="center" shrinkToFit="0" vertical="center" wrapText="1"/>
    </xf>
    <xf borderId="1" fillId="4" fontId="9" numFmtId="0" xfId="0" applyAlignment="1" applyBorder="1" applyFill="1" applyFont="1">
      <alignment horizontal="center" shrinkToFit="0" vertical="center" wrapText="1"/>
    </xf>
    <xf borderId="1" fillId="4" fontId="9" numFmtId="3" xfId="0" applyAlignment="1" applyBorder="1" applyFont="1" applyNumberFormat="1">
      <alignment horizontal="center" shrinkToFit="0" vertical="center" wrapText="1"/>
    </xf>
    <xf borderId="1" fillId="4" fontId="9" numFmtId="165" xfId="0" applyAlignment="1" applyBorder="1" applyFont="1" applyNumberFormat="1">
      <alignment horizontal="center" shrinkToFit="0" vertical="center" wrapText="1"/>
    </xf>
    <xf borderId="1" fillId="0" fontId="8" numFmtId="0" xfId="0" applyAlignment="1" applyBorder="1" applyFont="1">
      <alignment horizontal="center" shrinkToFit="0" vertical="center" wrapText="1"/>
    </xf>
    <xf borderId="1" fillId="0" fontId="5" numFmtId="0" xfId="0" applyAlignment="1" applyBorder="1" applyFont="1">
      <alignment horizontal="center" shrinkToFit="0" vertical="center" wrapText="0"/>
    </xf>
    <xf borderId="1" fillId="0" fontId="5" numFmtId="165" xfId="0" applyAlignment="1" applyBorder="1" applyFont="1" applyNumberFormat="1">
      <alignment horizontal="center" shrinkToFit="0" vertical="center" wrapText="0"/>
    </xf>
    <xf borderId="1" fillId="0" fontId="4" numFmtId="165" xfId="0" applyAlignment="1" applyBorder="1" applyFont="1" applyNumberFormat="1">
      <alignment horizontal="center" shrinkToFit="0" vertical="center" wrapText="0"/>
    </xf>
    <xf borderId="1" fillId="0" fontId="3" numFmtId="3" xfId="0" applyAlignment="1" applyBorder="1" applyFont="1" applyNumberFormat="1">
      <alignment horizontal="center" shrinkToFit="0" vertical="center" wrapText="1"/>
    </xf>
    <xf borderId="1" fillId="0" fontId="4" numFmtId="166" xfId="0" applyAlignment="1" applyBorder="1" applyFont="1" applyNumberFormat="1">
      <alignment horizontal="center" shrinkToFit="0" vertical="center" wrapText="1"/>
    </xf>
    <xf borderId="1" fillId="4" fontId="9" numFmtId="0" xfId="0" applyAlignment="1" applyBorder="1" applyFont="1">
      <alignment horizontal="center" shrinkToFit="0" vertical="center" wrapText="0"/>
    </xf>
    <xf borderId="1" fillId="4" fontId="9" numFmtId="3" xfId="0" applyAlignment="1" applyBorder="1" applyFont="1" applyNumberFormat="1">
      <alignment horizontal="center" shrinkToFit="0" vertical="center" wrapText="0"/>
    </xf>
    <xf borderId="1" fillId="4" fontId="9" numFmtId="164" xfId="0" applyAlignment="1" applyBorder="1" applyFont="1" applyNumberFormat="1">
      <alignment horizontal="center" shrinkToFit="0" vertical="center" wrapText="0"/>
    </xf>
    <xf borderId="1" fillId="3" fontId="4" numFmtId="1" xfId="0" applyAlignment="1" applyBorder="1" applyFont="1" applyNumberFormat="1">
      <alignment horizontal="center" shrinkToFit="0" vertical="center" wrapText="0"/>
    </xf>
    <xf borderId="0" fillId="0" fontId="4" numFmtId="0" xfId="0" applyAlignment="1" applyFont="1">
      <alignment shrinkToFit="0" vertical="bottom" wrapText="0"/>
    </xf>
    <xf borderId="1" fillId="3" fontId="3" numFmtId="3" xfId="0" applyAlignment="1" applyBorder="1" applyFont="1" applyNumberFormat="1">
      <alignment horizontal="center" shrinkToFit="0" vertical="center" wrapText="1"/>
    </xf>
    <xf borderId="1" fillId="3" fontId="3" numFmtId="167" xfId="0" applyAlignment="1" applyBorder="1" applyFont="1" applyNumberFormat="1">
      <alignment horizontal="center" shrinkToFit="0" vertical="center" wrapText="1"/>
    </xf>
    <xf borderId="1" fillId="0" fontId="4" numFmtId="168" xfId="0" applyAlignment="1" applyBorder="1" applyFont="1" applyNumberFormat="1">
      <alignment horizontal="center" shrinkToFit="0" vertical="center" wrapText="1"/>
    </xf>
    <xf borderId="1" fillId="0" fontId="4" numFmtId="169" xfId="0" applyAlignment="1" applyBorder="1" applyFont="1" applyNumberFormat="1">
      <alignment horizontal="center" shrinkToFit="0" vertical="center" wrapText="1"/>
    </xf>
    <xf borderId="1" fillId="3" fontId="3" numFmtId="170" xfId="0" applyAlignment="1" applyBorder="1" applyFont="1" applyNumberFormat="1">
      <alignment horizontal="center" shrinkToFit="0" vertical="center" wrapText="1"/>
    </xf>
    <xf borderId="1" fillId="3" fontId="3" numFmtId="169" xfId="0" applyAlignment="1" applyBorder="1" applyFont="1" applyNumberFormat="1">
      <alignment horizontal="center" shrinkToFit="0" vertical="center" wrapText="1"/>
    </xf>
    <xf borderId="1" fillId="3" fontId="3" numFmtId="168" xfId="0" applyAlignment="1" applyBorder="1" applyFont="1" applyNumberFormat="1">
      <alignment horizontal="center" shrinkToFit="0" vertical="center" wrapText="1"/>
    </xf>
    <xf borderId="0" fillId="0" fontId="10" numFmtId="0" xfId="0" applyAlignment="1" applyFont="1">
      <alignment horizontal="center" shrinkToFit="0" vertical="center" wrapText="1"/>
    </xf>
    <xf borderId="0" fillId="0" fontId="6"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9" width="11.43"/>
    <col customWidth="1" min="10" max="26" width="8.71"/>
  </cols>
  <sheetData>
    <row r="1">
      <c r="A1" s="1" t="s">
        <v>0</v>
      </c>
    </row>
    <row r="3">
      <c r="A3" s="2" t="s">
        <v>1</v>
      </c>
      <c r="B3" s="2" t="s">
        <v>2</v>
      </c>
      <c r="C3" s="2" t="s">
        <v>3</v>
      </c>
      <c r="D3" s="2" t="s">
        <v>4</v>
      </c>
      <c r="E3" s="2" t="s">
        <v>5</v>
      </c>
      <c r="F3" s="2" t="s">
        <v>6</v>
      </c>
      <c r="G3" s="2" t="s">
        <v>7</v>
      </c>
      <c r="H3" s="2" t="s">
        <v>8</v>
      </c>
      <c r="I3" s="2" t="s">
        <v>9</v>
      </c>
    </row>
    <row r="4">
      <c r="A4" s="3">
        <v>2024.0</v>
      </c>
      <c r="B4" s="4">
        <f>ROUND('Parámetros'!$B$6*(1+'Parámetros'!$B$7)^(A4-2024),0)</f>
        <v>63620</v>
      </c>
      <c r="C4" s="4">
        <f>ROUND('Parámetros'!$B$8+'Parámetros'!$B$10*(A4-2002)+'Parámetros'!$B$9*(A4-2002)^2,0)</f>
        <v>63620</v>
      </c>
      <c r="D4" s="4">
        <f>ROUND('Parámetros'!$B$11/(1+'Parámetros'!$B$12*EXP(-'Parámetros'!$B$13*(A4-2024))),0)</f>
        <v>63320</v>
      </c>
      <c r="E4" s="5">
        <f t="array" ref="E4">ROUND(INDEX('Serie INE b2017'!$B$4:$B$37,A4-2001)*'Parámetros'!$B$14,0)</f>
        <v>63405</v>
      </c>
      <c r="F4" s="4">
        <f>'Parámetros'!$B$6</f>
        <v>63620</v>
      </c>
      <c r="G4" s="4">
        <f t="shared" ref="G4:G15" si="1">MIN(B4:F4)</f>
        <v>63320</v>
      </c>
      <c r="H4" s="4">
        <f t="shared" ref="H4:H15" si="2">MEDIAN(B4:F4)</f>
        <v>63620</v>
      </c>
      <c r="I4" s="4">
        <f t="shared" ref="I4:I15" si="3">MAX(B4:F4)</f>
        <v>63620</v>
      </c>
    </row>
    <row r="5">
      <c r="A5" s="3">
        <v>2025.0</v>
      </c>
      <c r="B5" s="4">
        <f>ROUND('Parámetros'!$B$6*(1+'Parámetros'!$B$7)^(A5-2024),0)</f>
        <v>64299</v>
      </c>
      <c r="C5" s="4">
        <f>ROUND('Parámetros'!$B$8+'Parámetros'!$B$10*(A5-2002)+'Parámetros'!$B$9*(A5-2002)^2,0)</f>
        <v>64360</v>
      </c>
      <c r="D5" s="4">
        <f>ROUND('Parámetros'!$B$11/(1+'Parámetros'!$B$12*EXP(-'Parámetros'!$B$13*(A5-2024))),0)</f>
        <v>63898</v>
      </c>
      <c r="E5" s="5">
        <f t="array" ref="E5">ROUND(INDEX('Serie INE b2017'!$B$4:$B$37,A5-2001)*'Parámetros'!$B$14,0)</f>
        <v>63837</v>
      </c>
      <c r="F5" s="4">
        <f>ROUND(F4*(1+('Parámetros'!$B$15+'Parámetros'!$B$16*(A5-2025))/1000),0)</f>
        <v>63992</v>
      </c>
      <c r="G5" s="4">
        <f t="shared" si="1"/>
        <v>63837</v>
      </c>
      <c r="H5" s="4">
        <f t="shared" si="2"/>
        <v>63992</v>
      </c>
      <c r="I5" s="4">
        <f t="shared" si="3"/>
        <v>64360</v>
      </c>
    </row>
    <row r="6">
      <c r="A6" s="3">
        <v>2026.0</v>
      </c>
      <c r="B6" s="4">
        <f>ROUND('Parámetros'!$B$6*(1+'Parámetros'!$B$7)^(A6-2024),0)</f>
        <v>64985</v>
      </c>
      <c r="C6" s="4">
        <f>ROUND('Parámetros'!$B$8+'Parámetros'!$B$10*(A6-2002)+'Parámetros'!$B$9*(A6-2002)^2,0)</f>
        <v>65114</v>
      </c>
      <c r="D6" s="4">
        <f>ROUND('Parámetros'!$B$11/(1+'Parámetros'!$B$12*EXP(-'Parámetros'!$B$13*(A6-2024))),0)</f>
        <v>64475</v>
      </c>
      <c r="E6" s="5">
        <f t="array" ref="E6">ROUND(INDEX('Serie INE b2017'!$B$4:$B$37,A6-2001)*'Parámetros'!$B$14,0)</f>
        <v>64253</v>
      </c>
      <c r="F6" s="4">
        <f>ROUND(F5*(1+('Parámetros'!$B$15+'Parámetros'!$B$16*(A6-2025))/1000),0)</f>
        <v>64346</v>
      </c>
      <c r="G6" s="4">
        <f t="shared" si="1"/>
        <v>64253</v>
      </c>
      <c r="H6" s="4">
        <f t="shared" si="2"/>
        <v>64475</v>
      </c>
      <c r="I6" s="4">
        <f t="shared" si="3"/>
        <v>65114</v>
      </c>
    </row>
    <row r="7">
      <c r="A7" s="3">
        <v>2027.0</v>
      </c>
      <c r="B7" s="4">
        <f>ROUND('Parámetros'!$B$6*(1+'Parámetros'!$B$7)^(A7-2024),0)</f>
        <v>65678</v>
      </c>
      <c r="C7" s="4">
        <f>ROUND('Parámetros'!$B$8+'Parámetros'!$B$10*(A7-2002)+'Parámetros'!$B$9*(A7-2002)^2,0)</f>
        <v>65882</v>
      </c>
      <c r="D7" s="4">
        <f>ROUND('Parámetros'!$B$11/(1+'Parámetros'!$B$12*EXP(-'Parámetros'!$B$13*(A7-2024))),0)</f>
        <v>65052</v>
      </c>
      <c r="E7" s="5">
        <f t="array" ref="E7">ROUND(INDEX('Serie INE b2017'!$B$4:$B$37,A7-2001)*'Parámetros'!$B$14,0)</f>
        <v>64647</v>
      </c>
      <c r="F7" s="4">
        <f>ROUND(F6*(1+('Parámetros'!$B$15+'Parámetros'!$B$16*(A7-2025))/1000),0)</f>
        <v>64681</v>
      </c>
      <c r="G7" s="4">
        <f t="shared" si="1"/>
        <v>64647</v>
      </c>
      <c r="H7" s="4">
        <f t="shared" si="2"/>
        <v>65052</v>
      </c>
      <c r="I7" s="4">
        <f t="shared" si="3"/>
        <v>65882</v>
      </c>
    </row>
    <row r="8">
      <c r="A8" s="3">
        <v>2028.0</v>
      </c>
      <c r="B8" s="4">
        <f>ROUND('Parámetros'!$B$6*(1+'Parámetros'!$B$7)^(A8-2024),0)</f>
        <v>66379</v>
      </c>
      <c r="C8" s="4">
        <f>ROUND('Parámetros'!$B$8+'Parámetros'!$B$10*(A8-2002)+'Parámetros'!$B$9*(A8-2002)^2,0)</f>
        <v>66664</v>
      </c>
      <c r="D8" s="4">
        <f>ROUND('Parámetros'!$B$11/(1+'Parámetros'!$B$12*EXP(-'Parámetros'!$B$13*(A8-2024))),0)</f>
        <v>65628</v>
      </c>
      <c r="E8" s="5">
        <f t="array" ref="E8">ROUND(INDEX('Serie INE b2017'!$B$4:$B$37,A8-2001)*'Parámetros'!$B$14,0)</f>
        <v>65019</v>
      </c>
      <c r="F8" s="4">
        <f>ROUND(F7*(1+('Parámetros'!$B$15+'Parámetros'!$B$16*(A8-2025))/1000),0)</f>
        <v>64997</v>
      </c>
      <c r="G8" s="4">
        <f t="shared" si="1"/>
        <v>64997</v>
      </c>
      <c r="H8" s="4">
        <f t="shared" si="2"/>
        <v>65628</v>
      </c>
      <c r="I8" s="4">
        <f t="shared" si="3"/>
        <v>66664</v>
      </c>
    </row>
    <row r="9">
      <c r="A9" s="3">
        <v>2029.0</v>
      </c>
      <c r="B9" s="4">
        <f>ROUND('Parámetros'!$B$6*(1+'Parámetros'!$B$7)^(A9-2024),0)</f>
        <v>67087</v>
      </c>
      <c r="C9" s="4">
        <f>ROUND('Parámetros'!$B$8+'Parámetros'!$B$10*(A9-2002)+'Parámetros'!$B$9*(A9-2002)^2,0)</f>
        <v>67460</v>
      </c>
      <c r="D9" s="4">
        <f>ROUND('Parámetros'!$B$11/(1+'Parámetros'!$B$12*EXP(-'Parámetros'!$B$13*(A9-2024))),0)</f>
        <v>66203</v>
      </c>
      <c r="E9" s="5">
        <f t="array" ref="E9">ROUND(INDEX('Serie INE b2017'!$B$4:$B$37,A9-2001)*'Parámetros'!$B$14,0)</f>
        <v>65369</v>
      </c>
      <c r="F9" s="4">
        <f>ROUND(F8*(1+('Parámetros'!$B$15+'Parámetros'!$B$16*(A9-2025))/1000),0)</f>
        <v>65293</v>
      </c>
      <c r="G9" s="4">
        <f t="shared" si="1"/>
        <v>65293</v>
      </c>
      <c r="H9" s="4">
        <f t="shared" si="2"/>
        <v>66203</v>
      </c>
      <c r="I9" s="4">
        <f t="shared" si="3"/>
        <v>67460</v>
      </c>
    </row>
    <row r="10">
      <c r="A10" s="3">
        <v>2030.0</v>
      </c>
      <c r="B10" s="4">
        <f>ROUND('Parámetros'!$B$6*(1+'Parámetros'!$B$7)^(A10-2024),0)</f>
        <v>67803</v>
      </c>
      <c r="C10" s="4">
        <f>ROUND('Parámetros'!$B$8+'Parámetros'!$B$10*(A10-2002)+'Parámetros'!$B$9*(A10-2002)^2,0)</f>
        <v>68269</v>
      </c>
      <c r="D10" s="4">
        <f>ROUND('Parámetros'!$B$11/(1+'Parámetros'!$B$12*EXP(-'Parámetros'!$B$13*(A10-2024))),0)</f>
        <v>66777</v>
      </c>
      <c r="E10" s="5">
        <f t="array" ref="E10">ROUND(INDEX('Serie INE b2017'!$B$4:$B$37,A10-2001)*'Parámetros'!$B$14,0)</f>
        <v>65695</v>
      </c>
      <c r="F10" s="4">
        <f>ROUND(F9*(1+('Parámetros'!$B$15+'Parámetros'!$B$16*(A10-2025))/1000),0)</f>
        <v>65569</v>
      </c>
      <c r="G10" s="4">
        <f t="shared" si="1"/>
        <v>65569</v>
      </c>
      <c r="H10" s="4">
        <f t="shared" si="2"/>
        <v>66777</v>
      </c>
      <c r="I10" s="4">
        <f t="shared" si="3"/>
        <v>68269</v>
      </c>
    </row>
    <row r="11">
      <c r="A11" s="3">
        <v>2031.0</v>
      </c>
      <c r="B11" s="4">
        <f>ROUND('Parámetros'!$B$6*(1+'Parámetros'!$B$7)^(A11-2024),0)</f>
        <v>68526</v>
      </c>
      <c r="C11" s="4">
        <f>ROUND('Parámetros'!$B$8+'Parámetros'!$B$10*(A11-2002)+'Parámetros'!$B$9*(A11-2002)^2,0)</f>
        <v>69092</v>
      </c>
      <c r="D11" s="4">
        <f>ROUND('Parámetros'!$B$11/(1+'Parámetros'!$B$12*EXP(-'Parámetros'!$B$13*(A11-2024))),0)</f>
        <v>67350</v>
      </c>
      <c r="E11" s="5">
        <f t="array" ref="E11">ROUND(INDEX('Serie INE b2017'!$B$4:$B$37,A11-2001)*'Parámetros'!$B$14,0)</f>
        <v>65999</v>
      </c>
      <c r="F11" s="4">
        <f>ROUND(F10*(1+('Parámetros'!$B$15+'Parámetros'!$B$16*(A11-2025))/1000),0)</f>
        <v>65825</v>
      </c>
      <c r="G11" s="4">
        <f t="shared" si="1"/>
        <v>65825</v>
      </c>
      <c r="H11" s="4">
        <f t="shared" si="2"/>
        <v>67350</v>
      </c>
      <c r="I11" s="4">
        <f t="shared" si="3"/>
        <v>69092</v>
      </c>
    </row>
    <row r="12">
      <c r="A12" s="3">
        <v>2032.0</v>
      </c>
      <c r="B12" s="4">
        <f>ROUND('Parámetros'!$B$6*(1+'Parámetros'!$B$7)^(A12-2024),0)</f>
        <v>69257</v>
      </c>
      <c r="C12" s="4">
        <f>ROUND('Parámetros'!$B$8+'Parámetros'!$B$10*(A12-2002)+'Parámetros'!$B$9*(A12-2002)^2,0)</f>
        <v>69929</v>
      </c>
      <c r="D12" s="4">
        <f>ROUND('Parámetros'!$B$11/(1+'Parámetros'!$B$12*EXP(-'Parámetros'!$B$13*(A12-2024))),0)</f>
        <v>67922</v>
      </c>
      <c r="E12" s="5">
        <f t="array" ref="E12">ROUND(INDEX('Serie INE b2017'!$B$4:$B$37,A12-2001)*'Parámetros'!$B$14,0)</f>
        <v>66280</v>
      </c>
      <c r="F12" s="4">
        <f>ROUND(F11*(1+('Parámetros'!$B$15+'Parámetros'!$B$16*(A12-2025))/1000),0)</f>
        <v>66061</v>
      </c>
      <c r="G12" s="4">
        <f t="shared" si="1"/>
        <v>66061</v>
      </c>
      <c r="H12" s="4">
        <f t="shared" si="2"/>
        <v>67922</v>
      </c>
      <c r="I12" s="4">
        <f t="shared" si="3"/>
        <v>69929</v>
      </c>
    </row>
    <row r="13">
      <c r="A13" s="3">
        <v>2033.0</v>
      </c>
      <c r="B13" s="4">
        <f>ROUND('Parámetros'!$B$6*(1+'Parámetros'!$B$7)^(A13-2024),0)</f>
        <v>69996</v>
      </c>
      <c r="C13" s="4">
        <f>ROUND('Parámetros'!$B$8+'Parámetros'!$B$10*(A13-2002)+'Parámetros'!$B$9*(A13-2002)^2,0)</f>
        <v>70780</v>
      </c>
      <c r="D13" s="4">
        <f>ROUND('Parámetros'!$B$11/(1+'Parámetros'!$B$12*EXP(-'Parámetros'!$B$13*(A13-2024))),0)</f>
        <v>68493</v>
      </c>
      <c r="E13" s="5">
        <f t="array" ref="E13">ROUND(INDEX('Serie INE b2017'!$B$4:$B$37,A13-2001)*'Parámetros'!$B$14,0)</f>
        <v>66535</v>
      </c>
      <c r="F13" s="4">
        <f>ROUND(F12*(1+('Parámetros'!$B$15+'Parámetros'!$B$16*(A13-2025))/1000),0)</f>
        <v>66276</v>
      </c>
      <c r="G13" s="4">
        <f t="shared" si="1"/>
        <v>66276</v>
      </c>
      <c r="H13" s="4">
        <f t="shared" si="2"/>
        <v>68493</v>
      </c>
      <c r="I13" s="4">
        <f t="shared" si="3"/>
        <v>70780</v>
      </c>
    </row>
    <row r="14">
      <c r="A14" s="3">
        <v>2034.0</v>
      </c>
      <c r="B14" s="4">
        <f>ROUND('Parámetros'!$B$6*(1+'Parámetros'!$B$7)^(A14-2024),0)</f>
        <v>70743</v>
      </c>
      <c r="C14" s="4">
        <f>ROUND('Parámetros'!$B$8+'Parámetros'!$B$10*(A14-2002)+'Parámetros'!$B$9*(A14-2002)^2,0)</f>
        <v>71645</v>
      </c>
      <c r="D14" s="4">
        <f>ROUND('Parámetros'!$B$11/(1+'Parámetros'!$B$12*EXP(-'Parámetros'!$B$13*(A14-2024))),0)</f>
        <v>69063</v>
      </c>
      <c r="E14" s="5">
        <f t="array" ref="E14">ROUND(INDEX('Serie INE b2017'!$B$4:$B$37,A14-2001)*'Parámetros'!$B$14,0)</f>
        <v>66762</v>
      </c>
      <c r="F14" s="4">
        <f>ROUND(F13*(1+('Parámetros'!$B$15+'Parámetros'!$B$16*(A14-2025))/1000),0)</f>
        <v>66470</v>
      </c>
      <c r="G14" s="4">
        <f t="shared" si="1"/>
        <v>66470</v>
      </c>
      <c r="H14" s="4">
        <f t="shared" si="2"/>
        <v>69063</v>
      </c>
      <c r="I14" s="4">
        <f t="shared" si="3"/>
        <v>71645</v>
      </c>
    </row>
    <row r="15">
      <c r="A15" s="3">
        <v>2035.0</v>
      </c>
      <c r="B15" s="4">
        <f>ROUND('Parámetros'!$B$6*(1+'Parámetros'!$B$7)^(A15-2024),0)</f>
        <v>71498</v>
      </c>
      <c r="C15" s="4">
        <f>ROUND('Parámetros'!$B$8+'Parámetros'!$B$10*(A15-2002)+'Parámetros'!$B$9*(A15-2002)^2,0)</f>
        <v>72523</v>
      </c>
      <c r="D15" s="4">
        <f>ROUND('Parámetros'!$B$11/(1+'Parámetros'!$B$12*EXP(-'Parámetros'!$B$13*(A15-2024))),0)</f>
        <v>69631</v>
      </c>
      <c r="E15" s="5">
        <f t="array" ref="E15">ROUND(INDEX('Serie INE b2017'!$B$4:$B$37,A15-2001)*'Parámetros'!$B$14,0)</f>
        <v>66964</v>
      </c>
      <c r="F15" s="4">
        <f>ROUND(F14*(1+('Parámetros'!$B$15+'Parámetros'!$B$16*(A15-2025))/1000),0)</f>
        <v>66643</v>
      </c>
      <c r="G15" s="4">
        <f t="shared" si="1"/>
        <v>66643</v>
      </c>
      <c r="H15" s="4">
        <f t="shared" si="2"/>
        <v>69631</v>
      </c>
      <c r="I15" s="4">
        <f t="shared" si="3"/>
        <v>72523</v>
      </c>
    </row>
    <row r="17">
      <c r="A17" s="6" t="s">
        <v>10</v>
      </c>
    </row>
    <row r="18">
      <c r="A18" s="7" t="s">
        <v>11</v>
      </c>
    </row>
    <row r="19">
      <c r="A19" s="7" t="s">
        <v>12</v>
      </c>
    </row>
    <row r="20">
      <c r="A20" s="7" t="s">
        <v>13</v>
      </c>
    </row>
    <row r="21" ht="15.75" customHeight="1">
      <c r="A21" s="7" t="s">
        <v>14</v>
      </c>
    </row>
    <row r="22" ht="15.75" customHeight="1">
      <c r="A22" s="7" t="s">
        <v>15</v>
      </c>
    </row>
    <row r="23" ht="15.75" customHeight="1">
      <c r="A23" s="7" t="s">
        <v>16</v>
      </c>
    </row>
    <row r="24" ht="15.75" customHeight="1">
      <c r="A24" s="7" t="s">
        <v>17</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3:I23"/>
    <mergeCell ref="A24:I24"/>
    <mergeCell ref="A1:I1"/>
    <mergeCell ref="A17:I17"/>
    <mergeCell ref="A18:I18"/>
    <mergeCell ref="A19:I19"/>
    <mergeCell ref="A20:I20"/>
    <mergeCell ref="A21:I21"/>
    <mergeCell ref="A22:I2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71"/>
    <col customWidth="1" min="3" max="3" width="10.71"/>
    <col customWidth="1" min="4" max="8" width="8.71"/>
    <col customWidth="1" min="9" max="9" width="10.71"/>
    <col customWidth="1" min="10" max="26" width="8.71"/>
  </cols>
  <sheetData>
    <row r="1">
      <c r="A1" s="1" t="s">
        <v>18</v>
      </c>
    </row>
    <row r="3">
      <c r="A3" s="8" t="s">
        <v>1</v>
      </c>
      <c r="B3" s="8" t="s">
        <v>19</v>
      </c>
      <c r="C3" s="8" t="s">
        <v>20</v>
      </c>
      <c r="D3" s="8" t="s">
        <v>21</v>
      </c>
      <c r="E3" s="8" t="s">
        <v>22</v>
      </c>
      <c r="F3" s="8" t="s">
        <v>23</v>
      </c>
      <c r="G3" s="8" t="s">
        <v>24</v>
      </c>
      <c r="H3" s="8" t="s">
        <v>25</v>
      </c>
      <c r="I3" s="8" t="s">
        <v>26</v>
      </c>
      <c r="J3" s="8" t="s">
        <v>27</v>
      </c>
      <c r="K3" s="8" t="s">
        <v>28</v>
      </c>
    </row>
    <row r="4">
      <c r="A4" s="3">
        <v>2024.0</v>
      </c>
      <c r="B4" s="9">
        <f>'Proyección Comunal'!H4</f>
        <v>63620</v>
      </c>
      <c r="C4" s="10">
        <v>12203.0</v>
      </c>
      <c r="D4" s="11">
        <f t="shared" ref="D4:D15" si="1">B4-C4-E4</f>
        <v>42621</v>
      </c>
      <c r="E4" s="10">
        <v>8796.0</v>
      </c>
      <c r="F4" s="12">
        <f t="shared" ref="F4:F15" si="2">C4/B4</f>
        <v>0.1918107513</v>
      </c>
      <c r="G4" s="12">
        <f t="shared" ref="G4:G15" si="3">E4/B4</f>
        <v>0.1382584093</v>
      </c>
      <c r="H4" s="4">
        <f t="shared" ref="H4:H15" si="4">ROUND(E4/C4*100,1)</f>
        <v>72.1</v>
      </c>
      <c r="I4" s="4">
        <f t="shared" ref="I4:I15" si="5">ROUND((C4+E4)/D4*100,1)</f>
        <v>49.3</v>
      </c>
      <c r="J4" s="4">
        <f t="shared" ref="J4:J15" si="6">ROUND(C4/D4*100,1)</f>
        <v>28.6</v>
      </c>
      <c r="K4" s="4">
        <f t="shared" ref="K4:K15" si="7">ROUND(E4/D4*100,1)</f>
        <v>20.6</v>
      </c>
    </row>
    <row r="5">
      <c r="A5" s="3">
        <v>2025.0</v>
      </c>
      <c r="B5" s="9">
        <f>'Proyección Comunal'!H5</f>
        <v>63992</v>
      </c>
      <c r="C5" s="10">
        <v>12088.0</v>
      </c>
      <c r="D5" s="11">
        <f t="shared" si="1"/>
        <v>42845</v>
      </c>
      <c r="E5" s="10">
        <v>9059.0</v>
      </c>
      <c r="F5" s="12">
        <f t="shared" si="2"/>
        <v>0.1888986123</v>
      </c>
      <c r="G5" s="12">
        <f t="shared" si="3"/>
        <v>0.1415645706</v>
      </c>
      <c r="H5" s="4">
        <f t="shared" si="4"/>
        <v>74.9</v>
      </c>
      <c r="I5" s="4">
        <f t="shared" si="5"/>
        <v>49.4</v>
      </c>
      <c r="J5" s="4">
        <f t="shared" si="6"/>
        <v>28.2</v>
      </c>
      <c r="K5" s="4">
        <f t="shared" si="7"/>
        <v>21.1</v>
      </c>
    </row>
    <row r="6">
      <c r="A6" s="3">
        <v>2026.0</v>
      </c>
      <c r="B6" s="9">
        <f>'Proyección Comunal'!H6</f>
        <v>64475</v>
      </c>
      <c r="C6" s="10">
        <v>12006.0</v>
      </c>
      <c r="D6" s="11">
        <f t="shared" si="1"/>
        <v>43138</v>
      </c>
      <c r="E6" s="10">
        <v>9331.0</v>
      </c>
      <c r="F6" s="12">
        <f t="shared" si="2"/>
        <v>0.18621171</v>
      </c>
      <c r="G6" s="12">
        <f t="shared" si="3"/>
        <v>0.1447227608</v>
      </c>
      <c r="H6" s="4">
        <f t="shared" si="4"/>
        <v>77.7</v>
      </c>
      <c r="I6" s="4">
        <f t="shared" si="5"/>
        <v>49.5</v>
      </c>
      <c r="J6" s="4">
        <f t="shared" si="6"/>
        <v>27.8</v>
      </c>
      <c r="K6" s="4">
        <f t="shared" si="7"/>
        <v>21.6</v>
      </c>
    </row>
    <row r="7">
      <c r="A7" s="3">
        <v>2027.0</v>
      </c>
      <c r="B7" s="9">
        <f>'Proyección Comunal'!H7</f>
        <v>65052</v>
      </c>
      <c r="C7" s="10">
        <v>11951.0</v>
      </c>
      <c r="D7" s="11">
        <f t="shared" si="1"/>
        <v>43494</v>
      </c>
      <c r="E7" s="10">
        <v>9607.0</v>
      </c>
      <c r="F7" s="12">
        <f t="shared" si="2"/>
        <v>0.1837145668</v>
      </c>
      <c r="G7" s="12">
        <f t="shared" si="3"/>
        <v>0.1476818545</v>
      </c>
      <c r="H7" s="4">
        <f t="shared" si="4"/>
        <v>80.4</v>
      </c>
      <c r="I7" s="4">
        <f t="shared" si="5"/>
        <v>49.6</v>
      </c>
      <c r="J7" s="4">
        <f t="shared" si="6"/>
        <v>27.5</v>
      </c>
      <c r="K7" s="4">
        <f t="shared" si="7"/>
        <v>22.1</v>
      </c>
    </row>
    <row r="8">
      <c r="A8" s="3">
        <v>2028.0</v>
      </c>
      <c r="B8" s="9">
        <f>'Proyección Comunal'!H8</f>
        <v>65628</v>
      </c>
      <c r="C8" s="10">
        <v>11905.0</v>
      </c>
      <c r="D8" s="11">
        <f t="shared" si="1"/>
        <v>43846</v>
      </c>
      <c r="E8" s="10">
        <v>9877.0</v>
      </c>
      <c r="F8" s="12">
        <f t="shared" si="2"/>
        <v>0.1814012312</v>
      </c>
      <c r="G8" s="12">
        <f t="shared" si="3"/>
        <v>0.1504997867</v>
      </c>
      <c r="H8" s="4">
        <f t="shared" si="4"/>
        <v>83</v>
      </c>
      <c r="I8" s="4">
        <f t="shared" si="5"/>
        <v>49.7</v>
      </c>
      <c r="J8" s="4">
        <f t="shared" si="6"/>
        <v>27.2</v>
      </c>
      <c r="K8" s="4">
        <f t="shared" si="7"/>
        <v>22.5</v>
      </c>
    </row>
    <row r="9">
      <c r="A9" s="3">
        <v>2029.0</v>
      </c>
      <c r="B9" s="9">
        <f>'Proyección Comunal'!H9</f>
        <v>66203</v>
      </c>
      <c r="C9" s="10">
        <v>11871.0</v>
      </c>
      <c r="D9" s="11">
        <f t="shared" si="1"/>
        <v>44194</v>
      </c>
      <c r="E9" s="10">
        <v>10138.0</v>
      </c>
      <c r="F9" s="12">
        <f t="shared" si="2"/>
        <v>0.1793121158</v>
      </c>
      <c r="G9" s="12">
        <f t="shared" si="3"/>
        <v>0.1531350543</v>
      </c>
      <c r="H9" s="4">
        <f t="shared" si="4"/>
        <v>85.4</v>
      </c>
      <c r="I9" s="4">
        <f t="shared" si="5"/>
        <v>49.8</v>
      </c>
      <c r="J9" s="4">
        <f t="shared" si="6"/>
        <v>26.9</v>
      </c>
      <c r="K9" s="4">
        <f t="shared" si="7"/>
        <v>22.9</v>
      </c>
    </row>
    <row r="10">
      <c r="A10" s="3">
        <v>2030.0</v>
      </c>
      <c r="B10" s="9">
        <f>'Proyección Comunal'!H10</f>
        <v>66777</v>
      </c>
      <c r="C10" s="10">
        <v>11847.0</v>
      </c>
      <c r="D10" s="11">
        <f t="shared" si="1"/>
        <v>44540</v>
      </c>
      <c r="E10" s="10">
        <v>10390.0</v>
      </c>
      <c r="F10" s="12">
        <f t="shared" si="2"/>
        <v>0.1774113842</v>
      </c>
      <c r="G10" s="12">
        <f t="shared" si="3"/>
        <v>0.1555924944</v>
      </c>
      <c r="H10" s="4">
        <f t="shared" si="4"/>
        <v>87.7</v>
      </c>
      <c r="I10" s="4">
        <f t="shared" si="5"/>
        <v>49.9</v>
      </c>
      <c r="J10" s="4">
        <f t="shared" si="6"/>
        <v>26.6</v>
      </c>
      <c r="K10" s="4">
        <f t="shared" si="7"/>
        <v>23.3</v>
      </c>
    </row>
    <row r="11">
      <c r="A11" s="3">
        <v>2031.0</v>
      </c>
      <c r="B11" s="9">
        <f>'Proyección Comunal'!H11</f>
        <v>67350</v>
      </c>
      <c r="C11" s="10">
        <v>11834.0</v>
      </c>
      <c r="D11" s="11">
        <f t="shared" si="1"/>
        <v>44882</v>
      </c>
      <c r="E11" s="10">
        <v>10634.0</v>
      </c>
      <c r="F11" s="12">
        <f t="shared" si="2"/>
        <v>0.1757089829</v>
      </c>
      <c r="G11" s="12">
        <f t="shared" si="3"/>
        <v>0.157891611</v>
      </c>
      <c r="H11" s="4">
        <f t="shared" si="4"/>
        <v>89.9</v>
      </c>
      <c r="I11" s="4">
        <f t="shared" si="5"/>
        <v>50.1</v>
      </c>
      <c r="J11" s="4">
        <f t="shared" si="6"/>
        <v>26.4</v>
      </c>
      <c r="K11" s="4">
        <f t="shared" si="7"/>
        <v>23.7</v>
      </c>
    </row>
    <row r="12">
      <c r="A12" s="3">
        <v>2032.0</v>
      </c>
      <c r="B12" s="9">
        <f>'Proyección Comunal'!H12</f>
        <v>67922</v>
      </c>
      <c r="C12" s="10">
        <v>11833.0</v>
      </c>
      <c r="D12" s="11">
        <f t="shared" si="1"/>
        <v>45221</v>
      </c>
      <c r="E12" s="10">
        <v>10868.0</v>
      </c>
      <c r="F12" s="12">
        <f t="shared" si="2"/>
        <v>0.1742145402</v>
      </c>
      <c r="G12" s="12">
        <f t="shared" si="3"/>
        <v>0.1600070669</v>
      </c>
      <c r="H12" s="4">
        <f t="shared" si="4"/>
        <v>91.8</v>
      </c>
      <c r="I12" s="4">
        <f t="shared" si="5"/>
        <v>50.2</v>
      </c>
      <c r="J12" s="4">
        <f t="shared" si="6"/>
        <v>26.2</v>
      </c>
      <c r="K12" s="4">
        <f t="shared" si="7"/>
        <v>24</v>
      </c>
    </row>
    <row r="13">
      <c r="A13" s="3">
        <v>2033.0</v>
      </c>
      <c r="B13" s="9">
        <f>'Proyección Comunal'!H13</f>
        <v>68493</v>
      </c>
      <c r="C13" s="10">
        <v>11843.0</v>
      </c>
      <c r="D13" s="11">
        <f t="shared" si="1"/>
        <v>45556</v>
      </c>
      <c r="E13" s="10">
        <v>11094.0</v>
      </c>
      <c r="F13" s="12">
        <f t="shared" si="2"/>
        <v>0.1729081804</v>
      </c>
      <c r="G13" s="12">
        <f t="shared" si="3"/>
        <v>0.1619727563</v>
      </c>
      <c r="H13" s="4">
        <f t="shared" si="4"/>
        <v>93.7</v>
      </c>
      <c r="I13" s="4">
        <f t="shared" si="5"/>
        <v>50.3</v>
      </c>
      <c r="J13" s="4">
        <f t="shared" si="6"/>
        <v>26</v>
      </c>
      <c r="K13" s="4">
        <f t="shared" si="7"/>
        <v>24.4</v>
      </c>
    </row>
    <row r="14">
      <c r="A14" s="3">
        <v>2034.0</v>
      </c>
      <c r="B14" s="9">
        <f>'Proyección Comunal'!H14</f>
        <v>69063</v>
      </c>
      <c r="C14" s="10">
        <v>11865.0</v>
      </c>
      <c r="D14" s="11">
        <f t="shared" si="1"/>
        <v>45888</v>
      </c>
      <c r="E14" s="10">
        <v>11310.0</v>
      </c>
      <c r="F14" s="12">
        <f t="shared" si="2"/>
        <v>0.1717996612</v>
      </c>
      <c r="G14" s="12">
        <f t="shared" si="3"/>
        <v>0.1637635203</v>
      </c>
      <c r="H14" s="4">
        <f t="shared" si="4"/>
        <v>95.3</v>
      </c>
      <c r="I14" s="4">
        <f t="shared" si="5"/>
        <v>50.5</v>
      </c>
      <c r="J14" s="4">
        <f t="shared" si="6"/>
        <v>25.9</v>
      </c>
      <c r="K14" s="4">
        <f t="shared" si="7"/>
        <v>24.6</v>
      </c>
    </row>
    <row r="15">
      <c r="A15" s="3">
        <v>2035.0</v>
      </c>
      <c r="B15" s="9">
        <f>'Proyección Comunal'!H15</f>
        <v>69631</v>
      </c>
      <c r="C15" s="10">
        <v>11900.0</v>
      </c>
      <c r="D15" s="11">
        <f t="shared" si="1"/>
        <v>46216</v>
      </c>
      <c r="E15" s="10">
        <v>11515.0</v>
      </c>
      <c r="F15" s="12">
        <f t="shared" si="2"/>
        <v>0.1709008918</v>
      </c>
      <c r="G15" s="12">
        <f t="shared" si="3"/>
        <v>0.1653717453</v>
      </c>
      <c r="H15" s="4">
        <f t="shared" si="4"/>
        <v>96.8</v>
      </c>
      <c r="I15" s="4">
        <f t="shared" si="5"/>
        <v>50.7</v>
      </c>
      <c r="J15" s="4">
        <f t="shared" si="6"/>
        <v>25.7</v>
      </c>
      <c r="K15" s="4">
        <f t="shared" si="7"/>
        <v>24.9</v>
      </c>
    </row>
    <row r="17">
      <c r="A17" s="6" t="s">
        <v>29</v>
      </c>
    </row>
    <row r="18">
      <c r="A18" s="13" t="s">
        <v>30</v>
      </c>
    </row>
    <row r="19">
      <c r="A19" s="13" t="s">
        <v>31</v>
      </c>
    </row>
    <row r="20">
      <c r="A20" s="13" t="s">
        <v>32</v>
      </c>
    </row>
    <row r="21" ht="15.75" customHeight="1">
      <c r="A21" s="13" t="s">
        <v>33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K1"/>
    <mergeCell ref="A17:K17"/>
    <mergeCell ref="A18:K18"/>
    <mergeCell ref="A19:K19"/>
    <mergeCell ref="A20:K20"/>
    <mergeCell ref="A21:K2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8.71"/>
    <col customWidth="1" min="3" max="3" width="12.71"/>
    <col customWidth="1" min="4" max="4" width="10.71"/>
    <col customWidth="1" min="5" max="10" width="8.71"/>
    <col customWidth="1" min="11" max="11" width="10.71"/>
    <col customWidth="1" min="12" max="14" width="8.71"/>
    <col customWidth="1" min="15" max="15" width="10.71"/>
    <col customWidth="1" min="16" max="26" width="8.71"/>
  </cols>
  <sheetData>
    <row r="1">
      <c r="A1" s="1" t="s">
        <v>34</v>
      </c>
    </row>
    <row r="3">
      <c r="A3" s="14" t="s">
        <v>35</v>
      </c>
      <c r="B3" s="14" t="s">
        <v>36</v>
      </c>
      <c r="C3" s="14" t="s">
        <v>19</v>
      </c>
      <c r="D3" s="14" t="s">
        <v>37</v>
      </c>
      <c r="E3" s="14" t="s">
        <v>38</v>
      </c>
      <c r="F3" s="14" t="s">
        <v>20</v>
      </c>
      <c r="G3" s="14" t="s">
        <v>21</v>
      </c>
      <c r="H3" s="14" t="s">
        <v>22</v>
      </c>
      <c r="I3" s="14" t="s">
        <v>25</v>
      </c>
      <c r="J3" s="14" t="s">
        <v>39</v>
      </c>
      <c r="K3" s="14" t="s">
        <v>40</v>
      </c>
      <c r="L3" s="14" t="s">
        <v>41</v>
      </c>
      <c r="M3" s="14" t="s">
        <v>42</v>
      </c>
      <c r="N3" s="14" t="s">
        <v>43</v>
      </c>
      <c r="O3" s="14" t="s">
        <v>44</v>
      </c>
      <c r="P3" s="14" t="s">
        <v>45</v>
      </c>
    </row>
    <row r="4">
      <c r="A4" s="15" t="s">
        <v>46</v>
      </c>
      <c r="B4" s="15" t="s">
        <v>47</v>
      </c>
      <c r="C4" s="16">
        <v>1700.0</v>
      </c>
      <c r="D4" s="16">
        <v>784.0</v>
      </c>
      <c r="E4" s="16">
        <v>916.0</v>
      </c>
      <c r="F4" s="16">
        <v>411.0</v>
      </c>
      <c r="G4" s="16">
        <v>1112.0</v>
      </c>
      <c r="H4" s="16">
        <v>177.0</v>
      </c>
      <c r="I4" s="17">
        <f t="shared" ref="I4:I14" si="1">IF(F4=0,"",ROUND(H4/F4*100,1))</f>
        <v>43.1</v>
      </c>
      <c r="J4" s="17">
        <f t="shared" ref="J4:J14" si="2">IF(E4=0,"",ROUND(D4/E4*100,1))</f>
        <v>85.6</v>
      </c>
      <c r="K4" s="16">
        <v>580.0</v>
      </c>
      <c r="L4" s="16">
        <v>701.0</v>
      </c>
      <c r="M4" s="16">
        <v>73.0</v>
      </c>
      <c r="N4" s="17">
        <f t="shared" ref="N4:N14" si="3">IF((L4+M4)=0,"",ROUND(M4/(L4+M4)*100,1))</f>
        <v>9.4</v>
      </c>
      <c r="O4" s="16">
        <v>37.0</v>
      </c>
      <c r="P4" s="16">
        <v>66.0</v>
      </c>
    </row>
    <row r="5">
      <c r="A5" s="15" t="s">
        <v>48</v>
      </c>
      <c r="B5" s="15" t="s">
        <v>49</v>
      </c>
      <c r="C5" s="16">
        <v>9256.0</v>
      </c>
      <c r="D5" s="16">
        <v>4475.0</v>
      </c>
      <c r="E5" s="16">
        <v>4781.0</v>
      </c>
      <c r="F5" s="16">
        <v>2205.0</v>
      </c>
      <c r="G5" s="16">
        <v>6043.0</v>
      </c>
      <c r="H5" s="16">
        <v>1008.0</v>
      </c>
      <c r="I5" s="17">
        <f t="shared" si="1"/>
        <v>45.7</v>
      </c>
      <c r="J5" s="17">
        <f t="shared" si="2"/>
        <v>93.6</v>
      </c>
      <c r="K5" s="16">
        <v>3179.0</v>
      </c>
      <c r="L5" s="16">
        <v>4141.0</v>
      </c>
      <c r="M5" s="16">
        <v>249.0</v>
      </c>
      <c r="N5" s="17">
        <f t="shared" si="3"/>
        <v>5.7</v>
      </c>
      <c r="O5" s="16">
        <v>384.0</v>
      </c>
      <c r="P5" s="16">
        <v>507.0</v>
      </c>
    </row>
    <row r="6">
      <c r="A6" s="15" t="s">
        <v>50</v>
      </c>
      <c r="B6" s="15" t="s">
        <v>47</v>
      </c>
      <c r="C6" s="16">
        <v>0.0</v>
      </c>
      <c r="D6" s="16">
        <v>0.0</v>
      </c>
      <c r="E6" s="16">
        <v>0.0</v>
      </c>
      <c r="F6" s="16">
        <v>0.0</v>
      </c>
      <c r="G6" s="16">
        <v>0.0</v>
      </c>
      <c r="H6" s="16">
        <v>0.0</v>
      </c>
      <c r="I6" s="17" t="str">
        <f t="shared" si="1"/>
        <v/>
      </c>
      <c r="J6" s="17" t="str">
        <f t="shared" si="2"/>
        <v/>
      </c>
      <c r="K6" s="16">
        <v>0.0</v>
      </c>
      <c r="L6" s="16">
        <v>0.0</v>
      </c>
      <c r="M6" s="16">
        <v>0.0</v>
      </c>
      <c r="N6" s="17" t="str">
        <f t="shared" si="3"/>
        <v/>
      </c>
      <c r="O6" s="16">
        <v>0.0</v>
      </c>
      <c r="P6" s="16">
        <v>0.0</v>
      </c>
    </row>
    <row r="7">
      <c r="A7" s="15" t="s">
        <v>51</v>
      </c>
      <c r="B7" s="15" t="s">
        <v>52</v>
      </c>
      <c r="C7" s="16">
        <v>32401.0</v>
      </c>
      <c r="D7" s="16">
        <v>15449.0</v>
      </c>
      <c r="E7" s="16">
        <v>16952.0</v>
      </c>
      <c r="F7" s="16">
        <v>5917.0</v>
      </c>
      <c r="G7" s="16">
        <v>21649.0</v>
      </c>
      <c r="H7" s="16">
        <v>4835.0</v>
      </c>
      <c r="I7" s="17">
        <f t="shared" si="1"/>
        <v>81.7</v>
      </c>
      <c r="J7" s="17">
        <f t="shared" si="2"/>
        <v>91.1</v>
      </c>
      <c r="K7" s="16">
        <v>11565.0</v>
      </c>
      <c r="L7" s="16">
        <v>13586.0</v>
      </c>
      <c r="M7" s="16">
        <v>1502.0</v>
      </c>
      <c r="N7" s="17">
        <f t="shared" si="3"/>
        <v>10</v>
      </c>
      <c r="O7" s="16">
        <v>1883.0</v>
      </c>
      <c r="P7" s="16">
        <v>1774.0</v>
      </c>
    </row>
    <row r="8">
      <c r="A8" s="15" t="s">
        <v>53</v>
      </c>
      <c r="B8" s="15" t="s">
        <v>47</v>
      </c>
      <c r="C8" s="16">
        <v>583.0</v>
      </c>
      <c r="D8" s="16">
        <v>309.0</v>
      </c>
      <c r="E8" s="16">
        <v>274.0</v>
      </c>
      <c r="F8" s="16">
        <v>86.0</v>
      </c>
      <c r="G8" s="16">
        <v>383.0</v>
      </c>
      <c r="H8" s="16">
        <v>114.0</v>
      </c>
      <c r="I8" s="17">
        <f t="shared" si="1"/>
        <v>132.6</v>
      </c>
      <c r="J8" s="17">
        <f t="shared" si="2"/>
        <v>112.8</v>
      </c>
      <c r="K8" s="16">
        <v>208.0</v>
      </c>
      <c r="L8" s="16">
        <v>240.0</v>
      </c>
      <c r="M8" s="16">
        <v>14.0</v>
      </c>
      <c r="N8" s="17">
        <f t="shared" si="3"/>
        <v>5.5</v>
      </c>
      <c r="O8" s="16">
        <v>0.0</v>
      </c>
      <c r="P8" s="16">
        <v>0.0</v>
      </c>
    </row>
    <row r="9">
      <c r="A9" s="15" t="s">
        <v>54</v>
      </c>
      <c r="B9" s="15" t="s">
        <v>47</v>
      </c>
      <c r="C9" s="16">
        <v>737.0</v>
      </c>
      <c r="D9" s="16">
        <v>364.0</v>
      </c>
      <c r="E9" s="16">
        <v>373.0</v>
      </c>
      <c r="F9" s="16">
        <v>112.0</v>
      </c>
      <c r="G9" s="16">
        <v>489.0</v>
      </c>
      <c r="H9" s="16">
        <v>136.0</v>
      </c>
      <c r="I9" s="17">
        <f t="shared" si="1"/>
        <v>121.4</v>
      </c>
      <c r="J9" s="17">
        <f t="shared" si="2"/>
        <v>97.6</v>
      </c>
      <c r="K9" s="16">
        <v>267.0</v>
      </c>
      <c r="L9" s="16">
        <v>311.0</v>
      </c>
      <c r="M9" s="16">
        <v>16.0</v>
      </c>
      <c r="N9" s="17">
        <f t="shared" si="3"/>
        <v>4.9</v>
      </c>
      <c r="O9" s="16">
        <v>6.0</v>
      </c>
      <c r="P9" s="16">
        <v>39.0</v>
      </c>
    </row>
    <row r="10">
      <c r="A10" s="15" t="s">
        <v>55</v>
      </c>
      <c r="B10" s="15" t="s">
        <v>47</v>
      </c>
      <c r="C10" s="16">
        <v>1114.0</v>
      </c>
      <c r="D10" s="16">
        <v>558.0</v>
      </c>
      <c r="E10" s="16">
        <v>556.0</v>
      </c>
      <c r="F10" s="16">
        <v>182.0</v>
      </c>
      <c r="G10" s="16">
        <v>736.0</v>
      </c>
      <c r="H10" s="16">
        <v>196.0</v>
      </c>
      <c r="I10" s="17">
        <f t="shared" si="1"/>
        <v>107.7</v>
      </c>
      <c r="J10" s="17">
        <f t="shared" si="2"/>
        <v>100.4</v>
      </c>
      <c r="K10" s="16">
        <v>389.0</v>
      </c>
      <c r="L10" s="16">
        <v>472.0</v>
      </c>
      <c r="M10" s="16">
        <v>41.0</v>
      </c>
      <c r="N10" s="17">
        <f t="shared" si="3"/>
        <v>8</v>
      </c>
      <c r="O10" s="16">
        <v>7.0</v>
      </c>
      <c r="P10" s="16">
        <v>43.0</v>
      </c>
    </row>
    <row r="11">
      <c r="A11" s="15" t="s">
        <v>56</v>
      </c>
      <c r="B11" s="15" t="s">
        <v>49</v>
      </c>
      <c r="C11" s="16">
        <v>4696.0</v>
      </c>
      <c r="D11" s="16">
        <v>2334.0</v>
      </c>
      <c r="E11" s="16">
        <v>2362.0</v>
      </c>
      <c r="F11" s="16">
        <v>885.0</v>
      </c>
      <c r="G11" s="16">
        <v>3150.0</v>
      </c>
      <c r="H11" s="16">
        <v>661.0</v>
      </c>
      <c r="I11" s="17">
        <f t="shared" si="1"/>
        <v>74.7</v>
      </c>
      <c r="J11" s="17">
        <f t="shared" si="2"/>
        <v>98.8</v>
      </c>
      <c r="K11" s="16">
        <v>1658.0</v>
      </c>
      <c r="L11" s="16">
        <v>2104.0</v>
      </c>
      <c r="M11" s="16">
        <v>198.0</v>
      </c>
      <c r="N11" s="17">
        <f t="shared" si="3"/>
        <v>8.6</v>
      </c>
      <c r="O11" s="16">
        <v>295.0</v>
      </c>
      <c r="P11" s="16">
        <v>329.0</v>
      </c>
    </row>
    <row r="12">
      <c r="A12" s="15" t="s">
        <v>57</v>
      </c>
      <c r="B12" s="15" t="s">
        <v>49</v>
      </c>
      <c r="C12" s="16">
        <v>1452.0</v>
      </c>
      <c r="D12" s="16">
        <v>712.0</v>
      </c>
      <c r="E12" s="16">
        <v>740.0</v>
      </c>
      <c r="F12" s="16">
        <v>237.0</v>
      </c>
      <c r="G12" s="16">
        <v>961.0</v>
      </c>
      <c r="H12" s="16">
        <v>254.0</v>
      </c>
      <c r="I12" s="17">
        <f t="shared" si="1"/>
        <v>107.2</v>
      </c>
      <c r="J12" s="17">
        <f t="shared" si="2"/>
        <v>96.2</v>
      </c>
      <c r="K12" s="16">
        <v>491.0</v>
      </c>
      <c r="L12" s="16">
        <v>624.0</v>
      </c>
      <c r="M12" s="16">
        <v>72.0</v>
      </c>
      <c r="N12" s="17">
        <f t="shared" si="3"/>
        <v>10.3</v>
      </c>
      <c r="O12" s="16">
        <v>34.0</v>
      </c>
      <c r="P12" s="16">
        <v>51.0</v>
      </c>
    </row>
    <row r="13">
      <c r="A13" s="15" t="s">
        <v>58</v>
      </c>
      <c r="B13" s="15" t="s">
        <v>47</v>
      </c>
      <c r="C13" s="16">
        <v>2069.0</v>
      </c>
      <c r="D13" s="16">
        <v>1052.0</v>
      </c>
      <c r="E13" s="16">
        <v>1017.0</v>
      </c>
      <c r="F13" s="16">
        <v>362.0</v>
      </c>
      <c r="G13" s="16">
        <v>1389.0</v>
      </c>
      <c r="H13" s="16">
        <v>318.0</v>
      </c>
      <c r="I13" s="17">
        <f t="shared" si="1"/>
        <v>87.8</v>
      </c>
      <c r="J13" s="17">
        <f t="shared" si="2"/>
        <v>103.4</v>
      </c>
      <c r="K13" s="16">
        <v>682.0</v>
      </c>
      <c r="L13" s="16">
        <v>818.0</v>
      </c>
      <c r="M13" s="16">
        <v>92.0</v>
      </c>
      <c r="N13" s="17">
        <f t="shared" si="3"/>
        <v>10.1</v>
      </c>
      <c r="O13" s="16">
        <v>9.0</v>
      </c>
      <c r="P13" s="16">
        <v>69.0</v>
      </c>
    </row>
    <row r="14">
      <c r="A14" s="15" t="s">
        <v>59</v>
      </c>
      <c r="B14" s="15" t="s">
        <v>49</v>
      </c>
      <c r="C14" s="16">
        <v>1910.0</v>
      </c>
      <c r="D14" s="16">
        <v>957.0</v>
      </c>
      <c r="E14" s="16">
        <v>953.0</v>
      </c>
      <c r="F14" s="16">
        <v>344.0</v>
      </c>
      <c r="G14" s="16">
        <v>1271.0</v>
      </c>
      <c r="H14" s="16">
        <v>295.0</v>
      </c>
      <c r="I14" s="17">
        <f t="shared" si="1"/>
        <v>85.8</v>
      </c>
      <c r="J14" s="17">
        <f t="shared" si="2"/>
        <v>100.4</v>
      </c>
      <c r="K14" s="16">
        <v>626.0</v>
      </c>
      <c r="L14" s="16">
        <v>799.0</v>
      </c>
      <c r="M14" s="16">
        <v>105.0</v>
      </c>
      <c r="N14" s="17">
        <f t="shared" si="3"/>
        <v>11.6</v>
      </c>
      <c r="O14" s="16">
        <v>34.0</v>
      </c>
      <c r="P14" s="16">
        <v>146.0</v>
      </c>
    </row>
    <row r="15">
      <c r="A15" s="18" t="s">
        <v>60</v>
      </c>
      <c r="B15" s="18"/>
      <c r="C15" s="19">
        <f t="shared" ref="C15:H15" si="4">SUM(C4:C14)</f>
        <v>55918</v>
      </c>
      <c r="D15" s="19">
        <f t="shared" si="4"/>
        <v>26994</v>
      </c>
      <c r="E15" s="19">
        <f t="shared" si="4"/>
        <v>28924</v>
      </c>
      <c r="F15" s="19">
        <f t="shared" si="4"/>
        <v>10741</v>
      </c>
      <c r="G15" s="19">
        <f t="shared" si="4"/>
        <v>37183</v>
      </c>
      <c r="H15" s="19">
        <f t="shared" si="4"/>
        <v>7994</v>
      </c>
      <c r="I15" s="20">
        <f>ROUND(H15/F15*100,1)</f>
        <v>74.4</v>
      </c>
      <c r="J15" s="20">
        <f>ROUND(D15/E15*100,1)</f>
        <v>93.3</v>
      </c>
      <c r="K15" s="19">
        <f t="shared" ref="K15:M15" si="5">SUM(K4:K14)</f>
        <v>19645</v>
      </c>
      <c r="L15" s="19">
        <f t="shared" si="5"/>
        <v>23796</v>
      </c>
      <c r="M15" s="19">
        <f t="shared" si="5"/>
        <v>2362</v>
      </c>
      <c r="N15" s="20">
        <f>ROUND(M15/(L15+M15)*100,1)</f>
        <v>9</v>
      </c>
      <c r="O15" s="19">
        <f t="shared" ref="O15:P15" si="6">SUM(O4:O14)</f>
        <v>2689</v>
      </c>
      <c r="P15" s="19">
        <f t="shared" si="6"/>
        <v>3024</v>
      </c>
    </row>
    <row r="17">
      <c r="A17" s="6" t="s">
        <v>29</v>
      </c>
    </row>
    <row r="18">
      <c r="A18" s="13" t="s">
        <v>61</v>
      </c>
    </row>
    <row r="19">
      <c r="A19" s="13" t="s">
        <v>62</v>
      </c>
    </row>
    <row r="20">
      <c r="A20" s="13" t="s">
        <v>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P1"/>
    <mergeCell ref="A17:P17"/>
    <mergeCell ref="A18:P18"/>
    <mergeCell ref="A19:P19"/>
    <mergeCell ref="A20:P20"/>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8.71"/>
    <col customWidth="1" min="3" max="3" width="12.71"/>
    <col customWidth="1" min="4" max="5" width="8.71"/>
    <col customWidth="1" min="6" max="6" width="10.71"/>
    <col customWidth="1" min="7" max="8" width="8.71"/>
    <col customWidth="1" min="9" max="9" width="10.71"/>
    <col customWidth="1" min="10" max="26" width="8.71"/>
  </cols>
  <sheetData>
    <row r="1">
      <c r="A1" s="1" t="s">
        <v>64</v>
      </c>
    </row>
    <row r="3">
      <c r="A3" s="8" t="s">
        <v>35</v>
      </c>
      <c r="B3" s="8" t="s">
        <v>36</v>
      </c>
      <c r="C3" s="8" t="s">
        <v>65</v>
      </c>
      <c r="D3" s="8" t="s">
        <v>66</v>
      </c>
      <c r="E3" s="8" t="s">
        <v>67</v>
      </c>
      <c r="F3" s="8" t="s">
        <v>68</v>
      </c>
      <c r="G3" s="8" t="s">
        <v>69</v>
      </c>
      <c r="H3" s="8" t="s">
        <v>70</v>
      </c>
      <c r="J3" s="21" t="s">
        <v>71</v>
      </c>
      <c r="K3" s="21" t="s">
        <v>72</v>
      </c>
      <c r="L3" s="21" t="s">
        <v>73</v>
      </c>
      <c r="M3" s="21" t="s">
        <v>74</v>
      </c>
    </row>
    <row r="4">
      <c r="A4" s="22" t="str">
        <f>'Distritos 2024'!A4</f>
        <v>CÓBIL</v>
      </c>
      <c r="B4" s="22" t="str">
        <f>'Distritos 2024'!B4</f>
        <v>rural</v>
      </c>
      <c r="C4" s="9">
        <f>'Distritos 2024'!C4</f>
        <v>1700</v>
      </c>
      <c r="D4" s="11">
        <f>ROUND(M4/SUM($M$4:$M$14)*$C$15*('Proyección Comunal'!$H$15/'Proyección Comunal'!$H$4),0)</f>
        <v>1042</v>
      </c>
      <c r="E4" s="12">
        <f t="shared" ref="E4:E14" si="1">IF(C4=0,"",(D4-C4)/C4)</f>
        <v>-0.3870588235</v>
      </c>
      <c r="F4" s="23">
        <f>'Distritos 2024'!I4</f>
        <v>43.1</v>
      </c>
      <c r="G4" s="24">
        <f>IF(F4="","",ROUND(F4*'Parámetros'!$B$21/'Parámetros'!$B$20,1))</f>
        <v>57.9</v>
      </c>
      <c r="H4" s="24">
        <f t="shared" ref="H4:H14" si="2">IF(F4="","",G4-F4)</f>
        <v>14.8</v>
      </c>
      <c r="J4" s="25">
        <v>2269.0</v>
      </c>
      <c r="K4" s="26">
        <f>J4/'Parámetros'!$B$5</f>
        <v>0.0385720357</v>
      </c>
      <c r="L4" s="26">
        <f t="shared" ref="L4:L14" si="3">IF($C$15=0,0,C4/$C$15)</f>
        <v>0.03040165957</v>
      </c>
      <c r="M4" s="26">
        <f t="shared" ref="M4:M14" si="4">MAX(0,L4+(L4-K4)/7*11)</f>
        <v>0.01756249709</v>
      </c>
    </row>
    <row r="5">
      <c r="A5" s="22" t="str">
        <f>'Distritos 2024'!A5</f>
        <v>CHAPETÓN</v>
      </c>
      <c r="B5" s="22" t="str">
        <f>'Distritos 2024'!B5</f>
        <v>mixto</v>
      </c>
      <c r="C5" s="9">
        <f>'Distritos 2024'!C5</f>
        <v>9256</v>
      </c>
      <c r="D5" s="11">
        <f>ROUND(M5/SUM($M$4:$M$14)*$C$15*('Proyección Comunal'!$H$15/'Proyección Comunal'!$H$4),0)</f>
        <v>17340</v>
      </c>
      <c r="E5" s="12">
        <f t="shared" si="1"/>
        <v>0.8733794296</v>
      </c>
      <c r="F5" s="23">
        <f>'Distritos 2024'!I5</f>
        <v>45.7</v>
      </c>
      <c r="G5" s="24">
        <f>IF(F5="","",ROUND(F5*'Parámetros'!$B$21/'Parámetros'!$B$20,1))</f>
        <v>61.4</v>
      </c>
      <c r="H5" s="24">
        <f t="shared" si="2"/>
        <v>15.7</v>
      </c>
      <c r="J5" s="25">
        <v>4992.0</v>
      </c>
      <c r="K5" s="26">
        <f>J5/'Parámetros'!$B$5</f>
        <v>0.08486187845</v>
      </c>
      <c r="L5" s="26">
        <f t="shared" si="3"/>
        <v>0.1655280947</v>
      </c>
      <c r="M5" s="26">
        <f t="shared" si="4"/>
        <v>0.2922892917</v>
      </c>
    </row>
    <row r="6">
      <c r="A6" s="22" t="str">
        <f>'Distritos 2024'!A6</f>
        <v>MALAMBO</v>
      </c>
      <c r="B6" s="22" t="str">
        <f>'Distritos 2024'!B6</f>
        <v>rural</v>
      </c>
      <c r="C6" s="9">
        <f>'Distritos 2024'!C6</f>
        <v>0</v>
      </c>
      <c r="D6" s="11">
        <f>ROUND(M6/SUM($M$4:$M$14)*$C$15*('Proyección Comunal'!$H$15/'Proyección Comunal'!$H$4),0)</f>
        <v>0</v>
      </c>
      <c r="E6" s="12" t="str">
        <f t="shared" si="1"/>
        <v/>
      </c>
      <c r="F6" s="23" t="str">
        <f>'Distritos 2024'!I6</f>
        <v/>
      </c>
      <c r="G6" s="24" t="str">
        <f>IF(F6="","",ROUND(F6*'Parámetros'!$B$21/'Parámetros'!$B$20,1))</f>
        <v/>
      </c>
      <c r="H6" s="24" t="str">
        <f t="shared" si="2"/>
        <v/>
      </c>
      <c r="J6" s="25">
        <v>432.0</v>
      </c>
      <c r="K6" s="26">
        <f>J6/'Parámetros'!$B$5</f>
        <v>0.007343816405</v>
      </c>
      <c r="L6" s="26">
        <f t="shared" si="3"/>
        <v>0</v>
      </c>
      <c r="M6" s="26">
        <f t="shared" si="4"/>
        <v>0</v>
      </c>
    </row>
    <row r="7">
      <c r="A7" s="22" t="str">
        <f>'Distritos 2024'!A7</f>
        <v>CÉSARES</v>
      </c>
      <c r="B7" s="22" t="str">
        <f>'Distritos 2024'!B7</f>
        <v>urbano</v>
      </c>
      <c r="C7" s="9">
        <f>'Distritos 2024'!C7</f>
        <v>32401</v>
      </c>
      <c r="D7" s="11">
        <f>ROUND(M7/SUM($M$4:$M$14)*$C$15*('Proyección Comunal'!$H$15/'Proyección Comunal'!$H$4),0)</f>
        <v>34641</v>
      </c>
      <c r="E7" s="12">
        <f t="shared" si="1"/>
        <v>0.06913366871</v>
      </c>
      <c r="F7" s="23">
        <f>'Distritos 2024'!I7</f>
        <v>81.7</v>
      </c>
      <c r="G7" s="24">
        <f>IF(F7="","",ROUND(F7*'Parámetros'!$B$21/'Parámetros'!$B$20,1))</f>
        <v>109.7</v>
      </c>
      <c r="H7" s="24">
        <f t="shared" si="2"/>
        <v>28</v>
      </c>
      <c r="J7" s="25">
        <v>33917.0</v>
      </c>
      <c r="K7" s="26">
        <f>J7/'Parámetros'!$B$5</f>
        <v>0.5765745856</v>
      </c>
      <c r="L7" s="26">
        <f t="shared" si="3"/>
        <v>0.5794377481</v>
      </c>
      <c r="M7" s="26">
        <f t="shared" si="4"/>
        <v>0.5839370035</v>
      </c>
    </row>
    <row r="8">
      <c r="A8" s="22" t="str">
        <f>'Distritos 2024'!A8</f>
        <v>POPETA</v>
      </c>
      <c r="B8" s="22" t="str">
        <f>'Distritos 2024'!B8</f>
        <v>rural</v>
      </c>
      <c r="C8" s="9">
        <f>'Distritos 2024'!C8</f>
        <v>583</v>
      </c>
      <c r="D8" s="11">
        <f>ROUND(M8/SUM($M$4:$M$14)*$C$15*('Proyección Comunal'!$H$15/'Proyección Comunal'!$H$4),0)</f>
        <v>33</v>
      </c>
      <c r="E8" s="12">
        <f t="shared" si="1"/>
        <v>-0.9433962264</v>
      </c>
      <c r="F8" s="23">
        <f>'Distritos 2024'!I8</f>
        <v>132.6</v>
      </c>
      <c r="G8" s="24">
        <f>IF(F8="","",ROUND(F8*'Parámetros'!$B$21/'Parámetros'!$B$20,1))</f>
        <v>178</v>
      </c>
      <c r="H8" s="24">
        <f t="shared" si="2"/>
        <v>45.4</v>
      </c>
      <c r="J8" s="25">
        <v>983.0</v>
      </c>
      <c r="K8" s="26">
        <f>J8/'Parámetros'!$B$5</f>
        <v>0.01671058224</v>
      </c>
      <c r="L8" s="26">
        <f t="shared" si="3"/>
        <v>0.0104259809</v>
      </c>
      <c r="M8" s="26">
        <f t="shared" si="4"/>
        <v>0.000550178803</v>
      </c>
    </row>
    <row r="9">
      <c r="A9" s="22" t="str">
        <f>'Distritos 2024'!A9</f>
        <v>CHANQUEAHUE</v>
      </c>
      <c r="B9" s="22" t="str">
        <f>'Distritos 2024'!B9</f>
        <v>rural</v>
      </c>
      <c r="C9" s="9">
        <f>'Distritos 2024'!C9</f>
        <v>737</v>
      </c>
      <c r="D9" s="11">
        <f>ROUND(M9/SUM($M$4:$M$14)*$C$15*('Proyección Comunal'!$H$15/'Proyección Comunal'!$H$4),0)</f>
        <v>0</v>
      </c>
      <c r="E9" s="12">
        <f t="shared" si="1"/>
        <v>-1</v>
      </c>
      <c r="F9" s="23">
        <f>'Distritos 2024'!I9</f>
        <v>121.4</v>
      </c>
      <c r="G9" s="24">
        <f>IF(F9="","",ROUND(F9*'Parámetros'!$B$21/'Parámetros'!$B$20,1))</f>
        <v>163</v>
      </c>
      <c r="H9" s="24">
        <f t="shared" si="2"/>
        <v>41.6</v>
      </c>
      <c r="J9" s="25">
        <v>1791.0</v>
      </c>
      <c r="K9" s="26">
        <f>J9/'Parámetros'!$B$5</f>
        <v>0.03044623884</v>
      </c>
      <c r="L9" s="26">
        <f t="shared" si="3"/>
        <v>0.01318001359</v>
      </c>
      <c r="M9" s="26">
        <f t="shared" si="4"/>
        <v>0</v>
      </c>
    </row>
    <row r="10">
      <c r="A10" s="22" t="str">
        <f>'Distritos 2024'!A10</f>
        <v>LO DE LOBO</v>
      </c>
      <c r="B10" s="22" t="str">
        <f>'Distritos 2024'!B10</f>
        <v>rural</v>
      </c>
      <c r="C10" s="9">
        <f>'Distritos 2024'!C10</f>
        <v>1114</v>
      </c>
      <c r="D10" s="11">
        <f>ROUND(M10/SUM($M$4:$M$14)*$C$15*('Proyección Comunal'!$H$15/'Proyección Comunal'!$H$4),0)</f>
        <v>0</v>
      </c>
      <c r="E10" s="12">
        <f t="shared" si="1"/>
        <v>-1</v>
      </c>
      <c r="F10" s="23">
        <f>'Distritos 2024'!I10</f>
        <v>107.7</v>
      </c>
      <c r="G10" s="24">
        <f>IF(F10="","",ROUND(F10*'Parámetros'!$B$21/'Parámetros'!$B$20,1))</f>
        <v>144.6</v>
      </c>
      <c r="H10" s="24">
        <f t="shared" si="2"/>
        <v>36.9</v>
      </c>
      <c r="J10" s="25">
        <v>1937.0</v>
      </c>
      <c r="K10" s="26">
        <f>J10/'Parámetros'!$B$5</f>
        <v>0.0329281768</v>
      </c>
      <c r="L10" s="26">
        <f t="shared" si="3"/>
        <v>0.01992202868</v>
      </c>
      <c r="M10" s="26">
        <f t="shared" si="4"/>
        <v>0</v>
      </c>
    </row>
    <row r="11">
      <c r="A11" s="22" t="str">
        <f>'Distritos 2024'!A11</f>
        <v>ROSARIO</v>
      </c>
      <c r="B11" s="22" t="str">
        <f>'Distritos 2024'!B11</f>
        <v>mixto</v>
      </c>
      <c r="C11" s="9">
        <f>'Distritos 2024'!C11</f>
        <v>4696</v>
      </c>
      <c r="D11" s="11">
        <f>ROUND(M11/SUM($M$4:$M$14)*$C$15*('Proyección Comunal'!$H$15/'Proyección Comunal'!$H$4),0)</f>
        <v>5119</v>
      </c>
      <c r="E11" s="12">
        <f t="shared" si="1"/>
        <v>0.09007666099</v>
      </c>
      <c r="F11" s="23">
        <f>'Distritos 2024'!I11</f>
        <v>74.7</v>
      </c>
      <c r="G11" s="24">
        <f>IF(F11="","",ROUND(F11*'Parámetros'!$B$21/'Parámetros'!$B$20,1))</f>
        <v>100.3</v>
      </c>
      <c r="H11" s="24">
        <f t="shared" si="2"/>
        <v>25.6</v>
      </c>
      <c r="J11" s="25">
        <v>4854.0</v>
      </c>
      <c r="K11" s="26">
        <f>J11/'Parámetros'!$B$5</f>
        <v>0.0825159371</v>
      </c>
      <c r="L11" s="26">
        <f t="shared" si="3"/>
        <v>0.08398011374</v>
      </c>
      <c r="M11" s="26">
        <f t="shared" si="4"/>
        <v>0.08628096274</v>
      </c>
    </row>
    <row r="12">
      <c r="A12" s="22" t="str">
        <f>'Distritos 2024'!A12</f>
        <v>APALTA</v>
      </c>
      <c r="B12" s="22" t="str">
        <f>'Distritos 2024'!B12</f>
        <v>mixto</v>
      </c>
      <c r="C12" s="9">
        <f>'Distritos 2024'!C12</f>
        <v>1452</v>
      </c>
      <c r="D12" s="11">
        <f>ROUND(M12/SUM($M$4:$M$14)*$C$15*('Proyección Comunal'!$H$15/'Proyección Comunal'!$H$4),0)</f>
        <v>823</v>
      </c>
      <c r="E12" s="12">
        <f t="shared" si="1"/>
        <v>-0.4331955923</v>
      </c>
      <c r="F12" s="23">
        <f>'Distritos 2024'!I12</f>
        <v>107.2</v>
      </c>
      <c r="G12" s="24">
        <f>IF(F12="","",ROUND(F12*'Parámetros'!$B$21/'Parámetros'!$B$20,1))</f>
        <v>143.9</v>
      </c>
      <c r="H12" s="24">
        <f t="shared" si="2"/>
        <v>36.7</v>
      </c>
      <c r="J12" s="25">
        <v>1980.0</v>
      </c>
      <c r="K12" s="26">
        <f>J12/'Parámetros'!$B$5</f>
        <v>0.03365915852</v>
      </c>
      <c r="L12" s="26">
        <f t="shared" si="3"/>
        <v>0.02596659394</v>
      </c>
      <c r="M12" s="26">
        <f t="shared" si="4"/>
        <v>0.01387827817</v>
      </c>
    </row>
    <row r="13">
      <c r="A13" s="22" t="str">
        <f>'Distritos 2024'!A13</f>
        <v>ROSARIO PONIENTE</v>
      </c>
      <c r="B13" s="22" t="str">
        <f>'Distritos 2024'!B13</f>
        <v>rural</v>
      </c>
      <c r="C13" s="9">
        <f>'Distritos 2024'!C13</f>
        <v>2069</v>
      </c>
      <c r="D13" s="11">
        <f>ROUND(M13/SUM($M$4:$M$14)*$C$15*('Proyección Comunal'!$H$15/'Proyección Comunal'!$H$4),0)</f>
        <v>1377</v>
      </c>
      <c r="E13" s="12">
        <f t="shared" si="1"/>
        <v>-0.3344610923</v>
      </c>
      <c r="F13" s="23">
        <f>'Distritos 2024'!I13</f>
        <v>87.8</v>
      </c>
      <c r="G13" s="24">
        <f>IF(F13="","",ROUND(F13*'Parámetros'!$B$21/'Parámetros'!$B$20,1))</f>
        <v>117.9</v>
      </c>
      <c r="H13" s="24">
        <f t="shared" si="2"/>
        <v>30.1</v>
      </c>
      <c r="J13" s="25">
        <v>2693.0</v>
      </c>
      <c r="K13" s="26">
        <f>J13/'Parámetros'!$B$5</f>
        <v>0.0457798555</v>
      </c>
      <c r="L13" s="26">
        <f t="shared" si="3"/>
        <v>0.03700060803</v>
      </c>
      <c r="M13" s="26">
        <f t="shared" si="4"/>
        <v>0.02320464772</v>
      </c>
    </row>
    <row r="14">
      <c r="A14" s="22" t="str">
        <f>'Distritos 2024'!A14</f>
        <v>ESMERALDA</v>
      </c>
      <c r="B14" s="22" t="str">
        <f>'Distritos 2024'!B14</f>
        <v>mixto</v>
      </c>
      <c r="C14" s="9">
        <f>'Distritos 2024'!C14</f>
        <v>1910</v>
      </c>
      <c r="D14" s="11">
        <f>ROUND(M14/SUM($M$4:$M$14)*$C$15*('Proyección Comunal'!$H$15/'Proyección Comunal'!$H$4),0)</f>
        <v>827</v>
      </c>
      <c r="E14" s="12">
        <f t="shared" si="1"/>
        <v>-0.5670157068</v>
      </c>
      <c r="F14" s="23">
        <f>'Distritos 2024'!I14</f>
        <v>85.8</v>
      </c>
      <c r="G14" s="24">
        <f>IF(F14="","",ROUND(F14*'Parámetros'!$B$21/'Parámetros'!$B$20,1))</f>
        <v>115.2</v>
      </c>
      <c r="H14" s="24">
        <f t="shared" si="2"/>
        <v>29.4</v>
      </c>
      <c r="J14" s="25">
        <v>2766.0</v>
      </c>
      <c r="K14" s="26">
        <f>J14/'Parámetros'!$B$5</f>
        <v>0.04702082448</v>
      </c>
      <c r="L14" s="26">
        <f t="shared" si="3"/>
        <v>0.0341571587</v>
      </c>
      <c r="M14" s="26">
        <f t="shared" si="4"/>
        <v>0.01394282675</v>
      </c>
    </row>
    <row r="15">
      <c r="A15" s="27" t="s">
        <v>60</v>
      </c>
      <c r="B15" s="27"/>
      <c r="C15" s="28">
        <f t="shared" ref="C15:D15" si="5">SUM(C4:C14)</f>
        <v>55918</v>
      </c>
      <c r="D15" s="28">
        <f t="shared" si="5"/>
        <v>61202</v>
      </c>
      <c r="E15" s="29">
        <f>(D15-C15)/C15</f>
        <v>0.09449551128</v>
      </c>
      <c r="F15" s="27"/>
      <c r="G15" s="27"/>
      <c r="H15" s="27"/>
    </row>
    <row r="17">
      <c r="A17" s="6" t="s">
        <v>29</v>
      </c>
    </row>
    <row r="18">
      <c r="A18" s="13" t="s">
        <v>75</v>
      </c>
    </row>
    <row r="19">
      <c r="A19" s="13" t="s">
        <v>76</v>
      </c>
    </row>
    <row r="20">
      <c r="A20" s="13" t="s">
        <v>77</v>
      </c>
    </row>
    <row r="21" ht="15.75" customHeight="1">
      <c r="A21" s="13" t="s">
        <v>78</v>
      </c>
    </row>
    <row r="22" ht="15.75" customHeight="1">
      <c r="A22" s="13" t="s">
        <v>79</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H1"/>
    <mergeCell ref="A17:H17"/>
    <mergeCell ref="A18:H18"/>
    <mergeCell ref="A19:H19"/>
    <mergeCell ref="A20:H20"/>
    <mergeCell ref="A21:H21"/>
    <mergeCell ref="A22:H2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4.71"/>
    <col customWidth="1" min="3" max="3" width="31.57"/>
    <col customWidth="1" min="4" max="4" width="10.71"/>
    <col customWidth="1" min="5" max="26" width="8.71"/>
  </cols>
  <sheetData>
    <row r="1">
      <c r="A1" s="1" t="s">
        <v>80</v>
      </c>
    </row>
    <row r="3">
      <c r="A3" s="8" t="s">
        <v>1</v>
      </c>
      <c r="B3" s="8" t="s">
        <v>81</v>
      </c>
      <c r="C3" s="8" t="s">
        <v>82</v>
      </c>
    </row>
    <row r="4">
      <c r="A4" s="30">
        <v>2002.0</v>
      </c>
      <c r="B4" s="10">
        <v>52595.0</v>
      </c>
      <c r="C4" s="11">
        <f>ROUND(B4*'Parámetros'!$B$14,0)</f>
        <v>50691</v>
      </c>
    </row>
    <row r="5">
      <c r="A5" s="30">
        <v>2003.0</v>
      </c>
      <c r="B5" s="10">
        <v>53115.0</v>
      </c>
      <c r="C5" s="11">
        <f>ROUND(B5*'Parámetros'!$B$14,0)</f>
        <v>51192</v>
      </c>
    </row>
    <row r="6">
      <c r="A6" s="30">
        <v>2004.0</v>
      </c>
      <c r="B6" s="10">
        <v>53637.0</v>
      </c>
      <c r="C6" s="11">
        <f>ROUND(B6*'Parámetros'!$B$14,0)</f>
        <v>51695</v>
      </c>
    </row>
    <row r="7">
      <c r="A7" s="30">
        <v>2005.0</v>
      </c>
      <c r="B7" s="10">
        <v>54152.0</v>
      </c>
      <c r="C7" s="11">
        <f>ROUND(B7*'Parámetros'!$B$14,0)</f>
        <v>52192</v>
      </c>
    </row>
    <row r="8">
      <c r="A8" s="30">
        <v>2006.0</v>
      </c>
      <c r="B8" s="10">
        <v>54667.0</v>
      </c>
      <c r="C8" s="11">
        <f>ROUND(B8*'Parámetros'!$B$14,0)</f>
        <v>52688</v>
      </c>
    </row>
    <row r="9">
      <c r="A9" s="30">
        <v>2007.0</v>
      </c>
      <c r="B9" s="10">
        <v>55204.0</v>
      </c>
      <c r="C9" s="11">
        <f>ROUND(B9*'Parámetros'!$B$14,0)</f>
        <v>53206</v>
      </c>
    </row>
    <row r="10">
      <c r="A10" s="30">
        <v>2008.0</v>
      </c>
      <c r="B10" s="10">
        <v>55791.0</v>
      </c>
      <c r="C10" s="11">
        <f>ROUND(B10*'Parámetros'!$B$14,0)</f>
        <v>53771</v>
      </c>
    </row>
    <row r="11">
      <c r="A11" s="30">
        <v>2009.0</v>
      </c>
      <c r="B11" s="10">
        <v>56398.0</v>
      </c>
      <c r="C11" s="11">
        <f>ROUND(B11*'Parámetros'!$B$14,0)</f>
        <v>54356</v>
      </c>
    </row>
    <row r="12">
      <c r="A12" s="30">
        <v>2010.0</v>
      </c>
      <c r="B12" s="10">
        <v>57015.0</v>
      </c>
      <c r="C12" s="11">
        <f>ROUND(B12*'Parámetros'!$B$14,0)</f>
        <v>54951</v>
      </c>
    </row>
    <row r="13">
      <c r="A13" s="30">
        <v>2011.0</v>
      </c>
      <c r="B13" s="10">
        <v>57635.0</v>
      </c>
      <c r="C13" s="11">
        <f>ROUND(B13*'Parámetros'!$B$14,0)</f>
        <v>55549</v>
      </c>
    </row>
    <row r="14">
      <c r="A14" s="30">
        <v>2012.0</v>
      </c>
      <c r="B14" s="10">
        <v>58252.0</v>
      </c>
      <c r="C14" s="11">
        <f>ROUND(B14*'Parámetros'!$B$14,0)</f>
        <v>56143</v>
      </c>
    </row>
    <row r="15">
      <c r="A15" s="30">
        <v>2013.0</v>
      </c>
      <c r="B15" s="10">
        <v>58848.0</v>
      </c>
      <c r="C15" s="11">
        <f>ROUND(B15*'Parámetros'!$B$14,0)</f>
        <v>56718</v>
      </c>
    </row>
    <row r="16">
      <c r="A16" s="30">
        <v>2014.0</v>
      </c>
      <c r="B16" s="10">
        <v>59448.0</v>
      </c>
      <c r="C16" s="11">
        <f>ROUND(B16*'Parámetros'!$B$14,0)</f>
        <v>57296</v>
      </c>
    </row>
    <row r="17">
      <c r="A17" s="30">
        <v>2015.0</v>
      </c>
      <c r="B17" s="10">
        <v>60065.0</v>
      </c>
      <c r="C17" s="11">
        <f>ROUND(B17*'Parámetros'!$B$14,0)</f>
        <v>57891</v>
      </c>
    </row>
    <row r="18">
      <c r="A18" s="30">
        <v>2016.0</v>
      </c>
      <c r="B18" s="10">
        <v>60713.0</v>
      </c>
      <c r="C18" s="11">
        <f>ROUND(B18*'Parámetros'!$B$14,0)</f>
        <v>58515</v>
      </c>
    </row>
    <row r="19">
      <c r="A19" s="30">
        <v>2017.0</v>
      </c>
      <c r="B19" s="10">
        <v>61438.0</v>
      </c>
      <c r="C19" s="11">
        <f>ROUND(B19*'Parámetros'!$B$14,0)</f>
        <v>59214</v>
      </c>
    </row>
    <row r="20">
      <c r="A20" s="30">
        <v>2018.0</v>
      </c>
      <c r="B20" s="10">
        <v>62193.0</v>
      </c>
      <c r="C20" s="11">
        <f>ROUND(B20*'Parámetros'!$B$14,0)</f>
        <v>59942</v>
      </c>
    </row>
    <row r="21" ht="15.75" customHeight="1">
      <c r="A21" s="30">
        <v>2019.0</v>
      </c>
      <c r="B21" s="10">
        <v>62958.0</v>
      </c>
      <c r="C21" s="11">
        <f>ROUND(B21*'Parámetros'!$B$14,0)</f>
        <v>60679</v>
      </c>
    </row>
    <row r="22" ht="15.75" customHeight="1">
      <c r="A22" s="30">
        <v>2020.0</v>
      </c>
      <c r="B22" s="10">
        <v>63710.0</v>
      </c>
      <c r="C22" s="11">
        <f>ROUND(B22*'Parámetros'!$B$14,0)</f>
        <v>61404</v>
      </c>
    </row>
    <row r="23" ht="15.75" customHeight="1">
      <c r="A23" s="30">
        <v>2021.0</v>
      </c>
      <c r="B23" s="10">
        <v>64313.0</v>
      </c>
      <c r="C23" s="11">
        <f>ROUND(B23*'Parámetros'!$B$14,0)</f>
        <v>61985</v>
      </c>
    </row>
    <row r="24" ht="15.75" customHeight="1">
      <c r="A24" s="30">
        <v>2022.0</v>
      </c>
      <c r="B24" s="10">
        <v>64831.0</v>
      </c>
      <c r="C24" s="11">
        <f>ROUND(B24*'Parámetros'!$B$14,0)</f>
        <v>62484</v>
      </c>
    </row>
    <row r="25" ht="15.75" customHeight="1">
      <c r="A25" s="30">
        <v>2023.0</v>
      </c>
      <c r="B25" s="10">
        <v>65318.0</v>
      </c>
      <c r="C25" s="11">
        <f>ROUND(B25*'Parámetros'!$B$14,0)</f>
        <v>62953</v>
      </c>
    </row>
    <row r="26" ht="15.75" customHeight="1">
      <c r="A26" s="30">
        <v>2024.0</v>
      </c>
      <c r="B26" s="10">
        <v>65786.0</v>
      </c>
      <c r="C26" s="11">
        <f>ROUND(B26*'Parámetros'!$B$14,0)</f>
        <v>63405</v>
      </c>
    </row>
    <row r="27" ht="15.75" customHeight="1">
      <c r="A27" s="30">
        <v>2025.0</v>
      </c>
      <c r="B27" s="10">
        <v>66235.0</v>
      </c>
      <c r="C27" s="11">
        <f>ROUND(B27*'Parámetros'!$B$14,0)</f>
        <v>63837</v>
      </c>
    </row>
    <row r="28" ht="15.75" customHeight="1">
      <c r="A28" s="30">
        <v>2026.0</v>
      </c>
      <c r="B28" s="10">
        <v>66666.0</v>
      </c>
      <c r="C28" s="11">
        <f>ROUND(B28*'Parámetros'!$B$14,0)</f>
        <v>64253</v>
      </c>
    </row>
    <row r="29" ht="15.75" customHeight="1">
      <c r="A29" s="30">
        <v>2027.0</v>
      </c>
      <c r="B29" s="10">
        <v>67075.0</v>
      </c>
      <c r="C29" s="11">
        <f>ROUND(B29*'Parámetros'!$B$14,0)</f>
        <v>64647</v>
      </c>
    </row>
    <row r="30" ht="15.75" customHeight="1">
      <c r="A30" s="30">
        <v>2028.0</v>
      </c>
      <c r="B30" s="10">
        <v>67461.0</v>
      </c>
      <c r="C30" s="11">
        <f>ROUND(B30*'Parámetros'!$B$14,0)</f>
        <v>65019</v>
      </c>
    </row>
    <row r="31" ht="15.75" customHeight="1">
      <c r="A31" s="30">
        <v>2029.0</v>
      </c>
      <c r="B31" s="10">
        <v>67824.0</v>
      </c>
      <c r="C31" s="11">
        <f>ROUND(B31*'Parámetros'!$B$14,0)</f>
        <v>65369</v>
      </c>
    </row>
    <row r="32" ht="15.75" customHeight="1">
      <c r="A32" s="30">
        <v>2030.0</v>
      </c>
      <c r="B32" s="10">
        <v>68162.0</v>
      </c>
      <c r="C32" s="11">
        <f>ROUND(B32*'Parámetros'!$B$14,0)</f>
        <v>65695</v>
      </c>
    </row>
    <row r="33" ht="15.75" customHeight="1">
      <c r="A33" s="30">
        <v>2031.0</v>
      </c>
      <c r="B33" s="10">
        <v>68478.0</v>
      </c>
      <c r="C33" s="11">
        <f>ROUND(B33*'Parámetros'!$B$14,0)</f>
        <v>65999</v>
      </c>
    </row>
    <row r="34" ht="15.75" customHeight="1">
      <c r="A34" s="30">
        <v>2032.0</v>
      </c>
      <c r="B34" s="10">
        <v>68769.0</v>
      </c>
      <c r="C34" s="11">
        <f>ROUND(B34*'Parámetros'!$B$14,0)</f>
        <v>66280</v>
      </c>
    </row>
    <row r="35" ht="15.75" customHeight="1">
      <c r="A35" s="30">
        <v>2033.0</v>
      </c>
      <c r="B35" s="10">
        <v>69034.0</v>
      </c>
      <c r="C35" s="11">
        <f>ROUND(B35*'Parámetros'!$B$14,0)</f>
        <v>66535</v>
      </c>
    </row>
    <row r="36" ht="15.75" customHeight="1">
      <c r="A36" s="30">
        <v>2034.0</v>
      </c>
      <c r="B36" s="10">
        <v>69270.0</v>
      </c>
      <c r="C36" s="11">
        <f>ROUND(B36*'Parámetros'!$B$14,0)</f>
        <v>66762</v>
      </c>
    </row>
    <row r="37" ht="15.75" customHeight="1">
      <c r="A37" s="30">
        <v>2035.0</v>
      </c>
      <c r="B37" s="10">
        <v>69479.0</v>
      </c>
      <c r="C37" s="11">
        <f>ROUND(B37*'Parámetros'!$B$14,0)</f>
        <v>66964</v>
      </c>
    </row>
    <row r="38" ht="15.75" customHeight="1"/>
    <row r="39" ht="15.75" customHeight="1">
      <c r="A39" s="13" t="s">
        <v>83</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39:C39"/>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71"/>
    <col customWidth="1" min="2" max="26" width="8.71"/>
  </cols>
  <sheetData>
    <row r="1">
      <c r="A1" s="1" t="s">
        <v>84</v>
      </c>
    </row>
    <row r="2">
      <c r="A2" s="31"/>
    </row>
    <row r="3">
      <c r="A3" s="6" t="s">
        <v>85</v>
      </c>
    </row>
    <row r="4">
      <c r="A4" s="31" t="s">
        <v>86</v>
      </c>
    </row>
    <row r="5">
      <c r="A5" s="31" t="s">
        <v>87</v>
      </c>
    </row>
    <row r="6">
      <c r="A6" s="31" t="s">
        <v>88</v>
      </c>
    </row>
    <row r="7">
      <c r="A7" s="31"/>
    </row>
    <row r="8">
      <c r="A8" s="31" t="s">
        <v>89</v>
      </c>
    </row>
    <row r="9">
      <c r="A9" s="31" t="s">
        <v>90</v>
      </c>
    </row>
    <row r="10">
      <c r="A10" s="31" t="s">
        <v>91</v>
      </c>
    </row>
    <row r="11">
      <c r="A11" s="31" t="s">
        <v>92</v>
      </c>
    </row>
    <row r="12">
      <c r="A12" s="31" t="s">
        <v>93</v>
      </c>
    </row>
    <row r="13">
      <c r="A13" s="31" t="s">
        <v>94</v>
      </c>
    </row>
    <row r="14">
      <c r="A14" s="31" t="s">
        <v>95</v>
      </c>
    </row>
    <row r="15">
      <c r="A15" s="31"/>
    </row>
    <row r="16">
      <c r="A16" s="31" t="s">
        <v>96</v>
      </c>
    </row>
    <row r="17">
      <c r="A17" s="31"/>
    </row>
    <row r="18">
      <c r="A18" s="31" t="s">
        <v>97</v>
      </c>
    </row>
    <row r="19">
      <c r="A19" s="31" t="s">
        <v>98</v>
      </c>
    </row>
    <row r="20">
      <c r="A20" s="31" t="s">
        <v>99</v>
      </c>
    </row>
    <row r="21" ht="15.75" customHeight="1">
      <c r="A21" s="31"/>
    </row>
    <row r="22" ht="15.75" customHeight="1">
      <c r="A22" s="31" t="s">
        <v>100</v>
      </c>
    </row>
    <row r="23" ht="15.75" customHeight="1">
      <c r="A23" s="31" t="s">
        <v>101</v>
      </c>
    </row>
    <row r="24" ht="15.75" customHeight="1">
      <c r="A24" s="31"/>
    </row>
    <row r="25" ht="15.75" customHeight="1">
      <c r="A25" s="31" t="s">
        <v>102</v>
      </c>
    </row>
    <row r="26" ht="15.75" customHeight="1">
      <c r="A26" s="31" t="s">
        <v>103</v>
      </c>
    </row>
    <row r="27" ht="15.75" customHeight="1">
      <c r="A27" s="31"/>
    </row>
    <row r="28" ht="15.75" customHeight="1">
      <c r="A28" s="31" t="s">
        <v>104</v>
      </c>
    </row>
    <row r="29" ht="15.75" customHeight="1">
      <c r="A29" s="31" t="s">
        <v>105</v>
      </c>
    </row>
    <row r="30" ht="15.75" customHeight="1">
      <c r="A30" s="31"/>
    </row>
    <row r="31" ht="15.75" customHeight="1">
      <c r="A31" s="31" t="s">
        <v>106</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3.0"/>
    <col customWidth="1" min="3" max="3" width="52.0"/>
    <col customWidth="1" min="4" max="26" width="8.71"/>
  </cols>
  <sheetData>
    <row r="1">
      <c r="A1" s="1" t="s">
        <v>107</v>
      </c>
    </row>
    <row r="3">
      <c r="A3" s="14" t="s">
        <v>108</v>
      </c>
      <c r="B3" s="14" t="s">
        <v>109</v>
      </c>
      <c r="C3" s="14" t="s">
        <v>110</v>
      </c>
    </row>
    <row r="4">
      <c r="A4" s="15" t="s">
        <v>111</v>
      </c>
      <c r="B4" s="32">
        <v>50830.0</v>
      </c>
      <c r="C4" s="21" t="s">
        <v>112</v>
      </c>
    </row>
    <row r="5">
      <c r="A5" s="15" t="s">
        <v>113</v>
      </c>
      <c r="B5" s="32">
        <v>58825.0</v>
      </c>
      <c r="C5" s="21" t="s">
        <v>114</v>
      </c>
    </row>
    <row r="6">
      <c r="A6" s="15" t="s">
        <v>115</v>
      </c>
      <c r="B6" s="32">
        <v>63620.0</v>
      </c>
      <c r="C6" s="21" t="s">
        <v>116</v>
      </c>
    </row>
    <row r="7">
      <c r="A7" s="15" t="s">
        <v>117</v>
      </c>
      <c r="B7" s="33">
        <v>0.010669</v>
      </c>
      <c r="C7" s="21" t="s">
        <v>118</v>
      </c>
    </row>
    <row r="8">
      <c r="A8" s="15" t="s">
        <v>119</v>
      </c>
      <c r="B8" s="34">
        <f>B4</f>
        <v>50830</v>
      </c>
      <c r="C8" s="21" t="s">
        <v>120</v>
      </c>
    </row>
    <row r="9">
      <c r="A9" s="15" t="s">
        <v>121</v>
      </c>
      <c r="B9" s="35">
        <f>(22*(B5-B4)-15*(B6-B4))/(22*225-15*484)</f>
        <v>6.909090909</v>
      </c>
      <c r="C9" s="21" t="s">
        <v>122</v>
      </c>
    </row>
    <row r="10">
      <c r="A10" s="15" t="s">
        <v>123</v>
      </c>
      <c r="B10" s="35">
        <f>((B5-B4)-225*B9)/15</f>
        <v>429.3636364</v>
      </c>
      <c r="C10" s="21" t="s">
        <v>124</v>
      </c>
    </row>
    <row r="11">
      <c r="A11" s="15" t="s">
        <v>125</v>
      </c>
      <c r="B11" s="32">
        <v>122101.0</v>
      </c>
      <c r="C11" s="21" t="s">
        <v>126</v>
      </c>
    </row>
    <row r="12">
      <c r="A12" s="15" t="s">
        <v>127</v>
      </c>
      <c r="B12" s="36">
        <v>0.92832</v>
      </c>
      <c r="C12" s="21" t="s">
        <v>128</v>
      </c>
    </row>
    <row r="13">
      <c r="A13" s="15" t="s">
        <v>129</v>
      </c>
      <c r="B13" s="33">
        <v>0.018962</v>
      </c>
      <c r="C13" s="21" t="s">
        <v>130</v>
      </c>
    </row>
    <row r="14">
      <c r="A14" s="15" t="s">
        <v>131</v>
      </c>
      <c r="B14" s="37">
        <v>0.9638</v>
      </c>
      <c r="C14" s="21" t="s">
        <v>132</v>
      </c>
    </row>
    <row r="15">
      <c r="A15" s="15" t="s">
        <v>133</v>
      </c>
      <c r="B15" s="38">
        <v>5.855</v>
      </c>
      <c r="C15" s="21" t="s">
        <v>134</v>
      </c>
    </row>
    <row r="16">
      <c r="A16" s="15" t="s">
        <v>135</v>
      </c>
      <c r="B16" s="37">
        <v>-0.3248</v>
      </c>
      <c r="C16" s="21" t="s">
        <v>136</v>
      </c>
    </row>
    <row r="17">
      <c r="A17" s="15" t="s">
        <v>137</v>
      </c>
      <c r="B17" s="32">
        <v>12203.0</v>
      </c>
      <c r="C17" s="21" t="s">
        <v>138</v>
      </c>
    </row>
    <row r="18">
      <c r="A18" s="15" t="s">
        <v>139</v>
      </c>
      <c r="B18" s="32">
        <v>42621.0</v>
      </c>
      <c r="C18" s="21" t="s">
        <v>138</v>
      </c>
    </row>
    <row r="19">
      <c r="A19" s="15" t="s">
        <v>140</v>
      </c>
      <c r="B19" s="32">
        <v>8796.0</v>
      </c>
      <c r="C19" s="21" t="s">
        <v>138</v>
      </c>
    </row>
    <row r="20">
      <c r="A20" s="15" t="s">
        <v>141</v>
      </c>
      <c r="B20" s="17">
        <f>ROUND(B19/B17*100,1)</f>
        <v>72.1</v>
      </c>
      <c r="C20" s="21" t="s">
        <v>142</v>
      </c>
    </row>
    <row r="21" ht="15.75" customHeight="1">
      <c r="A21" s="15" t="s">
        <v>143</v>
      </c>
      <c r="B21" s="17">
        <f>'Estructura Etaria'!H15</f>
        <v>96.8</v>
      </c>
      <c r="C21" s="21" t="s">
        <v>144</v>
      </c>
    </row>
    <row r="22" ht="15.75" customHeight="1">
      <c r="A22" s="39"/>
      <c r="B22" s="39"/>
      <c r="C22" s="39"/>
    </row>
    <row r="23" ht="15.75" customHeight="1">
      <c r="A23" s="40" t="s">
        <v>145</v>
      </c>
      <c r="B23" s="39"/>
      <c r="C23" s="39"/>
    </row>
    <row r="24" ht="15.75" customHeight="1">
      <c r="A24" s="41" t="s">
        <v>146</v>
      </c>
      <c r="B24" s="39"/>
      <c r="C24" s="39"/>
    </row>
    <row r="25" ht="15.75" customHeight="1">
      <c r="A25" s="42" t="s">
        <v>147</v>
      </c>
      <c r="B25" s="39"/>
      <c r="C25" s="39"/>
    </row>
    <row r="26" ht="15.75" customHeight="1">
      <c r="A26" s="43" t="s">
        <v>148</v>
      </c>
      <c r="B26" s="39"/>
      <c r="C26" s="39"/>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2026-05-25T17:57:32Z</dcterms:created>
  <dc:creator>openpyxl</dc:creator>
</cp:coreProperties>
</file>

<file path=docProps/custom.xml><?xml version="1.0" encoding="utf-8"?>
<Properties xmlns="http://schemas.openxmlformats.org/officeDocument/2006/custom-properties" xmlns:vt="http://schemas.openxmlformats.org/officeDocument/2006/docPropsVTypes"/>
</file>